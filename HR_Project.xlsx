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E:\Courses\Data Analysis Route\2_Excel\Dashbords\Hr_Dashboard\"/>
    </mc:Choice>
  </mc:AlternateContent>
  <xr:revisionPtr revIDLastSave="0" documentId="13_ncr:1_{553B3974-636E-4550-8C3E-9D7059A8D417}" xr6:coauthVersionLast="47" xr6:coauthVersionMax="47" xr10:uidLastSave="{00000000-0000-0000-0000-000000000000}"/>
  <bookViews>
    <workbookView xWindow="-120" yWindow="-120" windowWidth="29040" windowHeight="15720" activeTab="3" xr2:uid="{00000000-000D-0000-FFFF-FFFF00000000}"/>
  </bookViews>
  <sheets>
    <sheet name="Data" sheetId="1" r:id="rId1"/>
    <sheet name="Data_Clean" sheetId="5" r:id="rId2"/>
    <sheet name="Pivot Table" sheetId="2" r:id="rId3"/>
    <sheet name="Dashboard" sheetId="3" r:id="rId4"/>
  </sheets>
  <definedNames>
    <definedName name="_xlchart.v2.0" hidden="1">'Pivot Table'!$N$43:$N$45</definedName>
    <definedName name="_xlchart.v2.1" hidden="1">'Pivot Table'!$O$42</definedName>
    <definedName name="_xlchart.v2.2" hidden="1">'Pivot Table'!$O$43:$O$45</definedName>
    <definedName name="ExternalData_1" localSheetId="1" hidden="1">Data_Clean!$A$1:$U$51</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21" i="2" l="1"/>
  <c r="N56" i="2" a="1"/>
  <c r="N56" i="2" s="1"/>
  <c r="N42" i="2" a="1"/>
  <c r="N42" i="2" s="1"/>
  <c r="N30" i="2" a="1"/>
  <c r="N30" i="2" s="1"/>
  <c r="M18" i="2" l="1" a="1"/>
  <c r="K32" i="2" a="1"/>
  <c r="K32" i="2" s="1"/>
  <c r="H31" i="2" a="1"/>
  <c r="H31" i="2" s="1"/>
  <c r="D28" i="2" a="1"/>
  <c r="D28" i="2" s="1"/>
  <c r="E10" i="2" a="1"/>
  <c r="E10" i="2" s="1"/>
  <c r="S10" i="2" a="1"/>
  <c r="S10" i="2" s="1"/>
  <c r="M7" i="2" a="1"/>
  <c r="M7" i="2" s="1"/>
  <c r="I12" i="2" a="1"/>
  <c r="I12" i="2" s="1"/>
  <c r="H12" i="2" a="1"/>
  <c r="H12" i="2" s="1"/>
  <c r="B8" i="2" a="1"/>
  <c r="B8" i="2" s="1"/>
  <c r="I19" i="2"/>
  <c r="I20" i="2"/>
  <c r="M18" i="2" l="1"/>
  <c r="J20" i="2"/>
  <c r="K20" i="2" s="1"/>
  <c r="J19" i="2"/>
  <c r="K19" i="2" s="1"/>
  <c r="I21" i="2"/>
  <c r="O20" i="2"/>
  <c r="P20" i="2" s="1"/>
  <c r="O19" i="2"/>
  <c r="P19" i="2" s="1"/>
  <c r="L38" i="2"/>
  <c r="O8" i="2"/>
  <c r="P8" i="2" s="1"/>
  <c r="O10" i="2"/>
  <c r="P10" i="2" s="1"/>
  <c r="O9" i="2"/>
  <c r="P9"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7128DE-2DF5-4727-B31F-BF81B4C8DB97}"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<sst xmlns="http://schemas.openxmlformats.org/spreadsheetml/2006/main" count="1590" uniqueCount="235">
  <si>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</si>
  <si>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</si>
  <si>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</si>
  <si>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</si>
  <si>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</si>
  <si>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</si>
  <si>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</si>
  <si>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</si>
  <si>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</si>
  <si>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</si>
  <si>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</si>
  <si>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</si>
  <si>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</si>
  <si>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</si>
  <si>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</si>
  <si>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</si>
  <si>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</si>
  <si>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</si>
  <si>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</si>
  <si>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</si>
  <si>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</si>
  <si>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</si>
  <si>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</si>
  <si>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</si>
  <si>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</si>
  <si>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</si>
  <si>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</si>
  <si>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</si>
  <si>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</si>
  <si>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</si>
  <si>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</si>
  <si>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</si>
  <si>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</si>
  <si>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</si>
  <si>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</si>
  <si>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</si>
  <si>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</si>
  <si>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</si>
  <si>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</si>
  <si>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</si>
  <si>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</si>
  <si>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</si>
  <si>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</si>
  <si>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</si>
  <si>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</si>
  <si>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</si>
  <si>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</si>
  <si>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</si>
  <si>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</si>
  <si>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</si>
  <si>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</si>
  <si>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</si>
  <si>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</si>
  <si>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</si>
  <si>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</si>
  <si>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</si>
  <si>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</si>
  <si>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</si>
  <si>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</si>
  <si>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</si>
  <si>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</si>
  <si>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</si>
  <si>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</si>
  <si>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</si>
  <si>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</si>
  <si>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</si>
  <si>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</si>
  <si>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</si>
  <si>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</si>
  <si>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</si>
  <si>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</si>
  <si>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</si>
  <si>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</si>
  <si>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</si>
  <si>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</si>
  <si>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</si>
  <si>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</si>
  <si>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</si>
  <si>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</si>
  <si>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</si>
  <si>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</si>
  <si>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</si>
  <si>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</si>
  <si>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</si>
  <si>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</si>
  <si>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</si>
  <si>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</si>
  <si>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</si>
  <si>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</si>
  <si>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</si>
  <si>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</si>
  <si>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</si>
  <si>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</si>
  <si>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</si>
  <si>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</si>
  <si>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</si>
  <si>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</si>
  <si>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</si>
  <si>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</si>
  <si>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</si>
  <si>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</si>
  <si>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</si>
  <si>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</si>
  <si>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</si>
  <si>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</si>
  <si>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</si>
  <si>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</si>
  <si>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</si>
  <si>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</si>
  <si>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</si>
  <si>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</si>
  <si>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</si>
  <si>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</si>
  <si>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</si>
  <si>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</si>
  <si>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</si>
  <si>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</si>
  <si>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</si>
  <si>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</si>
  <si>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</si>
  <si>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</si>
  <si>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</si>
  <si>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</si>
  <si>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</si>
  <si>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</si>
  <si>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</si>
  <si>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</si>
  <si>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</si>
  <si>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</si>
  <si>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</si>
  <si>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</si>
  <si>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</si>
  <si>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</si>
  <si>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</si>
  <si>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</si>
  <si>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</si>
  <si>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</si>
  <si>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</si>
  <si>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</si>
  <si>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</si>
  <si>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</si>
  <si>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</si>
  <si>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</si>
  <si>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</si>
  <si>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</si>
  <si>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</si>
  <si>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</si>
  <si>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</si>
  <si>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</si>
  <si>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</si>
  <si>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</si>
  <si>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</si>
  <si>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</si>
  <si>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</si>
  <si>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</si>
  <si>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</si>
  <si>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</si>
  <si>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</si>
  <si>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</si>
  <si>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</si>
  <si>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</si>
  <si>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</si>
  <si>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</si>
  <si>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</si>
  <si>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</si>
  <si>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</si>
  <si>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</si>
  <si>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</si>
  <si>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</si>
  <si>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</si>
  <si>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</si>
  <si>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</si>
  <si>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</si>
  <si>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</si>
  <si>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</si>
  <si>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</si>
  <si>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</si>
  <si>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</si>
  <si>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</si>
  <si>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</si>
  <si>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</si>
  <si>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</si>
  <si>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</si>
  <si>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</si>
  <si>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</si>
  <si>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</si>
  <si>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</si>
  <si>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</si>
  <si>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</si>
  <si>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</si>
  <si>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</si>
  <si>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</si>
  <si>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</si>
  <si>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</si>
  <si>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</si>
  <si>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</si>
  <si>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</si>
  <si>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</si>
  <si>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</si>
  <si>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</si>
  <si>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</si>
  <si>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</si>
  <si>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</si>
  <si>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</si>
  <si>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</si>
  <si>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</si>
  <si>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</si>
  <si>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</si>
  <si>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</si>
  <si>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</si>
  <si>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</si>
  <si>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</si>
  <si>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</si>
  <si>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</si>
  <si>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</si>
  <si>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</si>
  <si>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</si>
  <si>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 in employement Status</t>
  </si>
  <si>
    <t>Sum of Salary</t>
  </si>
  <si>
    <t>Salaries To department</t>
  </si>
  <si>
    <t>Column Labels</t>
  </si>
  <si>
    <t>Age Range To Gender</t>
  </si>
  <si>
    <t>Skills BreakDown</t>
  </si>
  <si>
    <t>Total</t>
  </si>
  <si>
    <t>Sum of Leave Taken</t>
  </si>
  <si>
    <t>Sales To Department &amp; Level Taken</t>
  </si>
  <si>
    <t>Emplyees By Region</t>
  </si>
  <si>
    <t>Average of Performance Rating</t>
  </si>
  <si>
    <t xml:space="preserve"> </t>
  </si>
  <si>
    <t>Avg</t>
  </si>
  <si>
    <t xml:space="preserve"> Dept</t>
  </si>
  <si>
    <t xml:space="preserve"> Insurance</t>
  </si>
  <si>
    <t xml:space="preserve">Insurance </t>
  </si>
  <si>
    <t xml:space="preserve">Totsl Salary by Employement status </t>
  </si>
  <si>
    <t>No of Employee in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</si>
</sst>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s>
  <fonts count="5" x14ac:knownFonts="1">
    <font>
      <sz val="11"/>
      <color theme="1"/>
      <name val="Calibri"/>
      <family val="2"/>
      <scheme val="minor"/>
    </font>
    <font>
      <sz val="14"/>
      <color theme="1"/>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282828"/>
        <bgColor indexed="64"/>
      </patternFill>
    </fill>
    <fill>
      <patternFill patternType="solid">
        <fgColor rgb="FFFFFF00"/>
        <bgColor indexed="64"/>
      </patternFill>
    </fill>
    <fill>
      <patternFill patternType="solid">
        <fgColor rgb="FF0B0F2B"/>
        <bgColor indexed="64"/>
      </patternFill>
    </fill>
  </fills>
  <borders count="1">
    <border>
      <left/>
      <right/>
      <top/>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cellStyleXfs>
  <cellXfs count="22">
    <xf numFmtId="0" fontId="0" fillId="0" borderId="0" xfId="0"/>
    <xf numFmtId="0" fontId="0" fillId="0" borderId="0" xfId="0" applyAlignment="1">
      <alignment horizontal="center" vertical="center"/>
    </xf>
    <xf numFmtId="0" fontId="0" fillId="0" borderId="0" xfId="0" applyNumberFormat="1" applyAlignment="1">
      <alignment horizontal="center" vertical="center"/>
    </xf>
    <xf numFmtId="14" fontId="0" fillId="0" borderId="0" xfId="0" applyNumberFormat="1" applyAlignment="1">
      <alignment horizontal="center" vertical="center"/>
    </xf>
    <xf numFmtId="0" fontId="1" fillId="0" borderId="0" xfId="0" applyFont="1" applyAlignment="1">
      <alignment horizontal="center" vertical="center"/>
    </xf>
    <xf numFmtId="0" fontId="1" fillId="0" borderId="0" xfId="0" applyFont="1"/>
    <xf numFmtId="0" fontId="0" fillId="2" borderId="0" xfId="0" applyFill="1"/>
    <xf numFmtId="0" fontId="0" fillId="0" borderId="0" xfId="0" pivotButton="1" applyAlignment="1">
      <alignment horizontal="center" vertical="center"/>
    </xf>
    <xf numFmtId="164" fontId="0" fillId="0" borderId="0" xfId="1" applyNumberFormat="1" applyFont="1"/>
    <xf numFmtId="0" fontId="0" fillId="4" borderId="0" xfId="0" applyFill="1"/>
    <xf numFmtId="0" fontId="3" fillId="3" borderId="0" xfId="0" applyFont="1" applyFill="1" applyAlignment="1"/>
    <xf numFmtId="9" fontId="4" fillId="0" borderId="0" xfId="2" applyFont="1"/>
    <xf numFmtId="9" fontId="0" fillId="0" borderId="0" xfId="0" applyNumberFormat="1"/>
    <xf numFmtId="0" fontId="4" fillId="0" borderId="0" xfId="2" applyNumberFormat="1" applyFont="1"/>
    <xf numFmtId="165" fontId="0" fillId="0" borderId="0" xfId="0" applyNumberFormat="1" applyAlignment="1">
      <alignment horizontal="center" vertical="center"/>
    </xf>
    <xf numFmtId="165" fontId="0" fillId="0" borderId="0" xfId="0" applyNumberFormat="1"/>
    <xf numFmtId="165" fontId="4" fillId="0" borderId="0" xfId="0" applyNumberFormat="1" applyFont="1"/>
    <xf numFmtId="1" fontId="0" fillId="0" borderId="0" xfId="0" applyNumberFormat="1" applyAlignment="1">
      <alignment horizontal="center" vertical="center"/>
    </xf>
    <xf numFmtId="166" fontId="0" fillId="0" borderId="0" xfId="0" applyNumberFormat="1" applyAlignment="1">
      <alignment horizontal="center" vertical="center"/>
    </xf>
    <xf numFmtId="166" fontId="0" fillId="0" borderId="0" xfId="3" applyNumberFormat="1" applyFont="1"/>
    <xf numFmtId="0" fontId="3" fillId="3" borderId="0" xfId="0" applyFont="1" applyFill="1" applyAlignment="1">
      <alignment horizontal="center"/>
    </xf>
    <xf numFmtId="0" fontId="0" fillId="0" borderId="0" xfId="0" applyAlignment="1">
      <alignment horizontal="center"/>
    </xf>
  </cellXfs>
  <cellStyles count="4">
    <cellStyle name="Comma" xfId="1" builtinId="3"/>
    <cellStyle name="Currency" xfId="3" builtinId="4"/>
    <cellStyle name="Normal" xfId="0" builtinId="0"/>
    <cellStyle name="Percent" xfId="2" builtinId="5"/>
  </cellStyles>
  <dxfs count="3971">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0" formatCode="Genera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6" formatCode="_(&quot;$&quot;* #,##0_);_(&quot;$&quot;* \(#,##0\);_(&quot;$&quot;* &quot;-&quot;??_);_(@_)"/>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5" formatCode="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0" formatCode="Genera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6" formatCode="_(&quot;$&quot;* #,##0_);_(&quot;$&quot;* \(#,##0\);_(&quot;$&quot;* &quot;-&quot;??_);_(@_)"/>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b/>
        <i val="0"/>
        <sz val="20"/>
        <color theme="0"/>
      </font>
    </dxf>
    <dxf>
      <fill>
        <patternFill>
          <bgColor rgb="FF0B0F2B"/>
        </patternFill>
      </fill>
    </dxf>
    <dxf>
      <font>
        <b/>
        <i val="0"/>
        <sz val="14"/>
        <color theme="0"/>
      </font>
    </dxf>
    <dxf>
      <fill>
        <patternFill>
          <bgColor rgb="FF0B0F2B"/>
        </patternFill>
      </fill>
    </dxf>
    <dxf>
      <font>
        <b/>
        <i val="0"/>
        <sz val="14"/>
        <color theme="0"/>
      </font>
    </dxf>
    <dxf>
      <fill>
        <patternFill>
          <bgColor rgb="FF0B0F2B"/>
        </patternFill>
      </fill>
    </dxf>
    <dxf>
      <font>
        <b/>
        <i val="0"/>
        <sz val="14"/>
        <color theme="0"/>
      </font>
    </dxf>
    <dxf>
      <fill>
        <patternFill>
          <bgColor rgb="FF0B0F2B"/>
        </patternFill>
      </fill>
    </dxf>
    <dxf>
      <font>
        <b/>
        <i val="0"/>
        <sz val="14"/>
        <color theme="0"/>
      </font>
    </dxf>
    <dxf>
      <fill>
        <patternFill>
          <bgColor rgb="FF0B0F2B"/>
        </patternFill>
      </fill>
    </dxf>
    <dxf>
      <font>
        <b/>
        <i val="0"/>
        <sz val="14"/>
      </font>
      <fill>
        <patternFill>
          <bgColor theme="0"/>
        </patternFill>
      </fill>
    </dxf>
    <dxf>
      <fill>
        <patternFill>
          <bgColor rgb="FF0B0F2B"/>
        </patternFill>
      </fill>
    </dxf>
    <dxf>
      <fill>
        <patternFill>
          <bgColor rgb="FF0B0F2B"/>
        </patternFill>
      </fill>
    </dxf>
    <dxf>
      <fill>
        <patternFill>
          <bgColor rgb="FFFFC000"/>
        </patternFill>
      </fill>
    </dxf>
    <dxf>
      <fill>
        <patternFill>
          <bgColor rgb="FF0B0F2B"/>
        </patternFill>
      </fill>
    </dxf>
    <dxf>
      <fill>
        <patternFill>
          <bgColor rgb="FF0B0F2B"/>
        </patternFill>
      </fill>
    </dxf>
  </dxfs>
  <tableStyles count="9" defaultTableStyle="TableStyleMedium2" defaultPivotStyle="PivotStyleLight16">
    <tableStyle name="Slicer Style 1" pivot="0" table="0" count="1" xr9:uid="{C14CB28F-5B78-4037-B6FB-A3FF36B1A942}">
      <tableStyleElement type="wholeTable" dxfId="3970"/>
    </tableStyle>
    <tableStyle name="Slicer Style 1 2" pivot="0" table="0" count="2" xr9:uid="{F1F2EC54-695E-4E1E-B015-EABDBB11F22C}">
      <tableStyleElement type="wholeTable" dxfId="3969"/>
      <tableStyleElement type="headerRow" dxfId="3968"/>
    </tableStyle>
    <tableStyle name="Slicer Style 1 3" pivot="0" table="0" count="2" xr9:uid="{0EF3D00E-BD78-4C01-A6FD-517C02C989C8}">
      <tableStyleElement type="wholeTable" dxfId="3967"/>
    </tableStyle>
    <tableStyle name="Slicer Style 1 3 2" pivot="0" table="0" count="3" xr9:uid="{B1CCAC66-1BB4-421B-BDBA-E31C42992198}">
      <tableStyleElement type="wholeTable" dxfId="3966"/>
      <tableStyleElement type="headerRow" dxfId="3965"/>
    </tableStyle>
    <tableStyle name="Slicer Style 1 3 3" pivot="0" table="0" count="3" xr9:uid="{68ED7E83-218F-422B-B1D1-9A61F9E5DCDE}">
      <tableStyleElement type="wholeTable" dxfId="3964"/>
      <tableStyleElement type="headerRow" dxfId="3963"/>
    </tableStyle>
    <tableStyle name="Slicer Style 1 3 3 2" pivot="0" table="0" count="4" xr9:uid="{B634293F-43A4-40E8-8977-D39660EA1CE9}">
      <tableStyleElement type="wholeTable" dxfId="3962"/>
      <tableStyleElement type="headerRow" dxfId="3961"/>
    </tableStyle>
    <tableStyle name="Slicer Style 1 3 3 2 2" pivot="0" table="0" count="5" xr9:uid="{A59AE9AA-AE3B-4D27-A704-6EB65B26AD5D}">
      <tableStyleElement type="wholeTable" dxfId="3960"/>
      <tableStyleElement type="headerRow" dxfId="3959"/>
    </tableStyle>
    <tableStyle name="Slicer Style 1 3 3 2 2 2" pivot="0" table="0" count="6" xr9:uid="{C7F61B46-D07A-4C80-B83E-58F7A2A9CCA2}">
      <tableStyleElement type="wholeTable" dxfId="3958"/>
      <tableStyleElement type="headerRow" dxfId="3957"/>
    </tableStyle>
    <tableStyle name="Slicer Style 1 3 3 2 2 2 2 2 2 2 5" pivot="0" table="0" count="7" xr9:uid="{2ADB65D8-2DB7-434F-A545-4ECE085CBD42}">
      <tableStyleElement type="wholeTable" dxfId="3956"/>
      <tableStyleElement type="headerRow" dxfId="3955"/>
    </tableStyle>
  </tableStyles>
  <colors>
    <mruColors>
      <color rgb="FFFFC107"/>
      <color rgb="FF00668C"/>
      <color rgb="FF3B5998"/>
      <color rgb="FF6D85C9"/>
      <color rgb="FFD4EAF7"/>
      <color rgb="FF0B0F2B"/>
      <color rgb="FF000000"/>
      <color rgb="FFFFC000"/>
      <color rgb="FF333554"/>
      <color rgb="FF71C4EF"/>
    </mruColors>
  </colors>
  <extLst>
    <ext xmlns:x14="http://schemas.microsoft.com/office/spreadsheetml/2009/9/main" uri="{46F421CA-312F-682f-3DD2-61675219B42D}">
      <x14:dxfs count="17">
        <dxf>
          <fill>
            <patternFill>
              <bgColor theme="0" tint="-0.24994659260841701"/>
            </patternFill>
          </fill>
        </dxf>
        <dxf>
          <fill>
            <patternFill>
              <bgColor theme="0" tint="-0.24994659260841701"/>
            </patternFill>
          </fill>
        </dxf>
        <dxf>
          <font>
            <sz val="14"/>
          </font>
          <fill>
            <patternFill>
              <bgColor theme="0" tint="-0.24994659260841701"/>
            </patternFill>
          </fill>
        </dxf>
        <dxf>
          <font>
            <sz val="14"/>
          </font>
          <fill>
            <patternFill>
              <bgColor rgb="FFFFC000"/>
            </patternFill>
          </fill>
        </dxf>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
          <fill>
            <patternFill>
              <bgColor rgb="FFFFC000"/>
            </patternFill>
          </fill>
        </dxf>
        <dxf>
          <fill>
            <patternFill>
              <bgColor rgb="FFFFC000"/>
            </patternFill>
          </fill>
        </dxf>
        <dxf>
          <fill>
            <patternFill>
              <bgColor theme="0" tint="-0.24994659260841701"/>
            </patternFill>
          </fill>
        </dxf>
        <dxf>
          <fill>
            <patternFill>
              <bgColor rgb="FFFFC000"/>
            </patternFill>
          </fill>
        </dxf>
        <dxf>
          <fill>
            <patternFill>
              <bgColor theme="0" tint="-0.24994659260841701"/>
            </patternFill>
          </fill>
        </dxf>
        <dxf>
          <fill>
            <patternFill>
              <bgColor rgb="FFFFC000"/>
            </patternFill>
          </fill>
        </dxf>
        <dxf>
          <fill>
            <patternFill>
              <bgColor rgb="FFFFC000"/>
            </patternFill>
          </fill>
        </dxf>
        <dxf>
          <fill>
            <patternFill>
              <bgColor rgb="FFFFC00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 name="Slicer Style 1 2"/>
        <x14:slicerStyle name="Slicer Style 1 3">
          <x14:slicerStyleElements>
            <x14:slicerStyleElement type="selectedItemWithData" dxfId="16"/>
          </x14:slicerStyleElements>
        </x14:slicerStyle>
        <x14:slicerStyle name="Slicer Style 1 3 2">
          <x14:slicerStyleElements>
            <x14:slicerStyleElement type="selectedItemWithData" dxfId="15"/>
          </x14:slicerStyleElements>
        </x14:slicerStyle>
        <x14:slicerStyle name="Slicer Style 1 3 3">
          <x14:slicerStyleElements>
            <x14:slicerStyleElement type="selectedItemWithData" dxfId="14"/>
          </x14:slicerStyleElements>
        </x14:slicerStyle>
        <x14:slicerStyle name="Slicer Style 1 3 3 2">
          <x14:slicerStyleElements>
            <x14:slicerStyleElement type="selectedItemWithData" dxfId="13"/>
            <x14:slicerStyleElement type="hoveredSelectedItemWithData" dxfId="12"/>
          </x14:slicerStyleElements>
        </x14:slicerStyle>
        <x14:slicerStyle name="Slicer Style 1 3 3 2 2">
          <x14:slicerStyleElements>
            <x14:slicerStyleElement type="selectedItemWithData" dxfId="11"/>
            <x14:slicerStyleElement type="hoveredSelectedItemWithData" dxfId="10"/>
            <x14:slicerStyleElement type="hoveredSelectedItemWithNoData" dxfId="9"/>
          </x14:slicerStyleElements>
        </x14:slicerStyle>
        <x14:slicerStyle name="Slicer Style 1 3 3 2 2 2">
          <x14:slicerStyleElements>
            <x14:slicerStyleElement type="selectedItemWithData" dxfId="8"/>
            <x14:slicerStyleElement type="selectedItemWithNoData" dxfId="7"/>
            <x14:slicerStyleElement type="hoveredSelectedItemWithData" dxfId="6"/>
            <x14:slicerStyleElement type="hoveredSelectedItemWithNoData" dxfId="5"/>
          </x14:slicerStyleElements>
        </x14:slicerStyle>
        <x14:slicerStyle name="Slicer Style 1 3 3 2 2 2 2 2 2 2 5">
          <x14:slicerStyleElements>
            <x14:slicerStyleElement type="unselectedItemWith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555323931126631E-2"/>
          <c:y val="4.0476178334854646E-2"/>
          <c:w val="0.85777823785369822"/>
          <c:h val="0.91904764333029076"/>
        </c:manualLayout>
      </c:layout>
      <c:pieChart>
        <c:varyColors val="1"/>
        <c:ser>
          <c:idx val="0"/>
          <c:order val="0"/>
          <c:tx>
            <c:strRef>
              <c:f>'Pivot Table'!$C$8</c:f>
              <c:strCache>
                <c:ptCount val="1"/>
                <c:pt idx="0">
                  <c:v>Count of Full Name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B52-4C72-9C6E-222068D269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B52-4C72-9C6E-222068D2699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B52-4C72-9C6E-222068D2699E}"/>
              </c:ext>
            </c:extLst>
          </c:dPt>
          <c:cat>
            <c:strRef>
              <c:f>'Pivot Table'!$B$9:$B$11</c:f>
              <c:strCache>
                <c:ptCount val="3"/>
                <c:pt idx="0">
                  <c:v>Contract</c:v>
                </c:pt>
                <c:pt idx="1">
                  <c:v>Full-Time</c:v>
                </c:pt>
                <c:pt idx="2">
                  <c:v>Part-Time</c:v>
                </c:pt>
              </c:strCache>
            </c:strRef>
          </c:cat>
          <c:val>
            <c:numRef>
              <c:f>'Pivot Table'!$C$9:$C$11</c:f>
              <c:numCache>
                <c:formatCode>General</c:formatCode>
                <c:ptCount val="3"/>
                <c:pt idx="0">
                  <c:v>17</c:v>
                </c:pt>
                <c:pt idx="1">
                  <c:v>20</c:v>
                </c:pt>
                <c:pt idx="2">
                  <c:v>13</c:v>
                </c:pt>
              </c:numCache>
            </c:numRef>
          </c:val>
          <c:extLst>
            <c:ext xmlns:c16="http://schemas.microsoft.com/office/drawing/2014/chart" uri="{C3380CC4-5D6E-409C-BE32-E72D297353CC}">
              <c16:uniqueId val="{00000006-2B52-4C72-9C6E-222068D2699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[HR_Project.xlsx]Pivot Table!Age Range</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35306681958614E-2"/>
          <c:y val="5.8799084582387771E-2"/>
          <c:w val="0.80409983150936037"/>
          <c:h val="0.76042623532846187"/>
        </c:manualLayout>
      </c:layout>
      <c:barChart>
        <c:barDir val="col"/>
        <c:grouping val="clustered"/>
        <c:varyColors val="0"/>
        <c:ser>
          <c:idx val="0"/>
          <c:order val="0"/>
          <c:tx>
            <c:strRef>
              <c:f>'Pivot Table'!$I$2:$I$3</c:f>
              <c:strCache>
                <c:ptCount val="1"/>
                <c:pt idx="0">
                  <c:v>Female</c:v>
                </c:pt>
              </c:strCache>
            </c:strRef>
          </c:tx>
          <c:spPr>
            <a:solidFill>
              <a:srgbClr val="FFC107"/>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Table'!$H$4:$H$9</c:f>
              <c:strCache>
                <c:ptCount val="5"/>
                <c:pt idx="0">
                  <c:v>18-25</c:v>
                </c:pt>
                <c:pt idx="1">
                  <c:v>26-35</c:v>
                </c:pt>
                <c:pt idx="2">
                  <c:v>36-45</c:v>
                </c:pt>
                <c:pt idx="3">
                  <c:v>46-55</c:v>
                </c:pt>
                <c:pt idx="4">
                  <c:v>56 &lt;</c:v>
                </c:pt>
              </c:strCache>
            </c:strRef>
          </c:cat>
          <c:val>
            <c:numRef>
              <c:f>'Pivot Table'!$I$4:$I$9</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0DF8-4BCD-ADBA-582F35F7787D}"/>
            </c:ext>
          </c:extLst>
        </c:ser>
        <c:ser>
          <c:idx val="1"/>
          <c:order val="1"/>
          <c:tx>
            <c:strRef>
              <c:f>'Pivot Table'!$J$2:$J$3</c:f>
              <c:strCache>
                <c:ptCount val="1"/>
                <c:pt idx="0">
                  <c:v>Male</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Table'!$H$4:$H$9</c:f>
              <c:strCache>
                <c:ptCount val="5"/>
                <c:pt idx="0">
                  <c:v>18-25</c:v>
                </c:pt>
                <c:pt idx="1">
                  <c:v>26-35</c:v>
                </c:pt>
                <c:pt idx="2">
                  <c:v>36-45</c:v>
                </c:pt>
                <c:pt idx="3">
                  <c:v>46-55</c:v>
                </c:pt>
                <c:pt idx="4">
                  <c:v>56 &lt;</c:v>
                </c:pt>
              </c:strCache>
            </c:strRef>
          </c:cat>
          <c:val>
            <c:numRef>
              <c:f>'Pivot Table'!$J$4:$J$9</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3-F5C4-470E-9204-FE0B1F6B3FD8}"/>
            </c:ext>
          </c:extLst>
        </c:ser>
        <c:dLbls>
          <c:dLblPos val="outEnd"/>
          <c:showLegendKey val="0"/>
          <c:showVal val="1"/>
          <c:showCatName val="0"/>
          <c:showSerName val="0"/>
          <c:showPercent val="0"/>
          <c:showBubbleSize val="0"/>
        </c:dLbls>
        <c:gapWidth val="219"/>
        <c:overlap val="-27"/>
        <c:axId val="150868144"/>
        <c:axId val="150869104"/>
      </c:barChart>
      <c:catAx>
        <c:axId val="15086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50869104"/>
        <c:crosses val="autoZero"/>
        <c:auto val="1"/>
        <c:lblAlgn val="ctr"/>
        <c:lblOffset val="100"/>
        <c:noMultiLvlLbl val="0"/>
      </c:catAx>
      <c:valAx>
        <c:axId val="150869104"/>
        <c:scaling>
          <c:orientation val="minMax"/>
        </c:scaling>
        <c:delete val="1"/>
        <c:axPos val="l"/>
        <c:numFmt formatCode="General" sourceLinked="1"/>
        <c:majorTickMark val="none"/>
        <c:minorTickMark val="none"/>
        <c:tickLblPos val="nextTo"/>
        <c:crossAx val="150868144"/>
        <c:crosses val="autoZero"/>
        <c:crossBetween val="between"/>
      </c:valAx>
      <c:spPr>
        <a:noFill/>
        <a:ln>
          <a:noFill/>
        </a:ln>
        <a:effectLst/>
      </c:spPr>
    </c:plotArea>
    <c:legend>
      <c:legendPos val="r"/>
      <c:layout>
        <c:manualLayout>
          <c:xMode val="edge"/>
          <c:yMode val="edge"/>
          <c:x val="0.7901205851747567"/>
          <c:y val="0.4095596997766815"/>
          <c:w val="0.20987944528092128"/>
          <c:h val="0.205087196894756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506110837399279E-2"/>
          <c:y val="0.17314804715774443"/>
          <c:w val="0.94449388916260069"/>
          <c:h val="0.65370390568451109"/>
        </c:manualLayout>
      </c:layout>
      <c:barChart>
        <c:barDir val="bar"/>
        <c:grouping val="stacked"/>
        <c:varyColors val="0"/>
        <c:ser>
          <c:idx val="0"/>
          <c:order val="0"/>
          <c:spPr>
            <a:solidFill>
              <a:schemeClr val="accent1"/>
            </a:solidFill>
            <a:ln>
              <a:noFill/>
            </a:ln>
            <a:effectLst/>
          </c:spPr>
          <c:invertIfNegative val="0"/>
          <c:val>
            <c:numRef>
              <c:f>'Pivot Table'!$O$8</c:f>
              <c:numCache>
                <c:formatCode>0%</c:formatCode>
                <c:ptCount val="1"/>
                <c:pt idx="0">
                  <c:v>0.46</c:v>
                </c:pt>
              </c:numCache>
            </c:numRef>
          </c:val>
          <c:extLst>
            <c:ext xmlns:c16="http://schemas.microsoft.com/office/drawing/2014/chart" uri="{C3380CC4-5D6E-409C-BE32-E72D297353CC}">
              <c16:uniqueId val="{00000000-BCA9-48D6-81E7-E38A7A3C4B9C}"/>
            </c:ext>
          </c:extLst>
        </c:ser>
        <c:ser>
          <c:idx val="1"/>
          <c:order val="1"/>
          <c:spPr>
            <a:solidFill>
              <a:schemeClr val="accent2"/>
            </a:solidFill>
            <a:ln>
              <a:noFill/>
            </a:ln>
            <a:effectLst/>
          </c:spPr>
          <c:invertIfNegative val="0"/>
          <c:val>
            <c:numRef>
              <c:f>'Pivot Table'!$P$8</c:f>
              <c:numCache>
                <c:formatCode>0%</c:formatCode>
                <c:ptCount val="1"/>
                <c:pt idx="0">
                  <c:v>0.54</c:v>
                </c:pt>
              </c:numCache>
            </c:numRef>
          </c:val>
          <c:extLst>
            <c:ext xmlns:c16="http://schemas.microsoft.com/office/drawing/2014/chart" uri="{C3380CC4-5D6E-409C-BE32-E72D297353CC}">
              <c16:uniqueId val="{00000001-BCA9-48D6-81E7-E38A7A3C4B9C}"/>
            </c:ext>
          </c:extLst>
        </c:ser>
        <c:dLbls>
          <c:showLegendKey val="0"/>
          <c:showVal val="0"/>
          <c:showCatName val="0"/>
          <c:showSerName val="0"/>
          <c:showPercent val="0"/>
          <c:showBubbleSize val="0"/>
        </c:dLbls>
        <c:gapWidth val="150"/>
        <c:overlap val="100"/>
        <c:axId val="153933312"/>
        <c:axId val="153926112"/>
      </c:barChart>
      <c:catAx>
        <c:axId val="153933312"/>
        <c:scaling>
          <c:orientation val="minMax"/>
        </c:scaling>
        <c:delete val="1"/>
        <c:axPos val="l"/>
        <c:majorTickMark val="none"/>
        <c:minorTickMark val="none"/>
        <c:tickLblPos val="nextTo"/>
        <c:crossAx val="153926112"/>
        <c:crosses val="autoZero"/>
        <c:auto val="1"/>
        <c:lblAlgn val="ctr"/>
        <c:lblOffset val="100"/>
        <c:noMultiLvlLbl val="0"/>
      </c:catAx>
      <c:valAx>
        <c:axId val="153926112"/>
        <c:scaling>
          <c:orientation val="minMax"/>
        </c:scaling>
        <c:delete val="1"/>
        <c:axPos val="b"/>
        <c:numFmt formatCode="0%" sourceLinked="1"/>
        <c:majorTickMark val="none"/>
        <c:minorTickMark val="none"/>
        <c:tickLblPos val="nextTo"/>
        <c:crossAx val="15393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984537180042192E-2"/>
          <c:y val="0.16875384286444248"/>
          <c:w val="0.94201546281995785"/>
          <c:h val="0.6624923142711151"/>
        </c:manualLayout>
      </c:layout>
      <c:barChart>
        <c:barDir val="bar"/>
        <c:grouping val="stacked"/>
        <c:varyColors val="0"/>
        <c:ser>
          <c:idx val="0"/>
          <c:order val="0"/>
          <c:spPr>
            <a:solidFill>
              <a:schemeClr val="accent1"/>
            </a:solidFill>
            <a:ln>
              <a:noFill/>
            </a:ln>
            <a:effectLst/>
          </c:spPr>
          <c:invertIfNegative val="0"/>
          <c:val>
            <c:numRef>
              <c:f>'Pivot Table'!$O$9</c:f>
              <c:numCache>
                <c:formatCode>0%</c:formatCode>
                <c:ptCount val="1"/>
                <c:pt idx="0">
                  <c:v>0.16</c:v>
                </c:pt>
              </c:numCache>
            </c:numRef>
          </c:val>
          <c:extLst>
            <c:ext xmlns:c16="http://schemas.microsoft.com/office/drawing/2014/chart" uri="{C3380CC4-5D6E-409C-BE32-E72D297353CC}">
              <c16:uniqueId val="{00000000-5CE0-4408-B4D9-7A2662D07EDA}"/>
            </c:ext>
          </c:extLst>
        </c:ser>
        <c:ser>
          <c:idx val="1"/>
          <c:order val="1"/>
          <c:spPr>
            <a:solidFill>
              <a:schemeClr val="accent2"/>
            </a:solidFill>
            <a:ln>
              <a:noFill/>
            </a:ln>
            <a:effectLst/>
          </c:spPr>
          <c:invertIfNegative val="0"/>
          <c:val>
            <c:numRef>
              <c:f>'Pivot Table'!$P$9</c:f>
              <c:numCache>
                <c:formatCode>0%</c:formatCode>
                <c:ptCount val="1"/>
                <c:pt idx="0">
                  <c:v>0.84</c:v>
                </c:pt>
              </c:numCache>
            </c:numRef>
          </c:val>
          <c:extLst>
            <c:ext xmlns:c16="http://schemas.microsoft.com/office/drawing/2014/chart" uri="{C3380CC4-5D6E-409C-BE32-E72D297353CC}">
              <c16:uniqueId val="{00000001-5CE0-4408-B4D9-7A2662D07EDA}"/>
            </c:ext>
          </c:extLst>
        </c:ser>
        <c:dLbls>
          <c:showLegendKey val="0"/>
          <c:showVal val="0"/>
          <c:showCatName val="0"/>
          <c:showSerName val="0"/>
          <c:showPercent val="0"/>
          <c:showBubbleSize val="0"/>
        </c:dLbls>
        <c:gapWidth val="150"/>
        <c:overlap val="100"/>
        <c:axId val="150879184"/>
        <c:axId val="150882064"/>
      </c:barChart>
      <c:catAx>
        <c:axId val="150879184"/>
        <c:scaling>
          <c:orientation val="minMax"/>
        </c:scaling>
        <c:delete val="1"/>
        <c:axPos val="l"/>
        <c:majorTickMark val="none"/>
        <c:minorTickMark val="none"/>
        <c:tickLblPos val="nextTo"/>
        <c:crossAx val="150882064"/>
        <c:crosses val="autoZero"/>
        <c:auto val="1"/>
        <c:lblAlgn val="ctr"/>
        <c:lblOffset val="100"/>
        <c:noMultiLvlLbl val="0"/>
      </c:catAx>
      <c:valAx>
        <c:axId val="150882064"/>
        <c:scaling>
          <c:orientation val="minMax"/>
        </c:scaling>
        <c:delete val="1"/>
        <c:axPos val="b"/>
        <c:numFmt formatCode="0%" sourceLinked="1"/>
        <c:majorTickMark val="none"/>
        <c:minorTickMark val="none"/>
        <c:tickLblPos val="nextTo"/>
        <c:crossAx val="15087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806538477180829E-2"/>
          <c:y val="0.16206289710920163"/>
          <c:w val="0.94019346152281913"/>
          <c:h val="0.67587420578159674"/>
        </c:manualLayout>
      </c:layout>
      <c:barChart>
        <c:barDir val="bar"/>
        <c:grouping val="stacked"/>
        <c:varyColors val="0"/>
        <c:ser>
          <c:idx val="0"/>
          <c:order val="0"/>
          <c:spPr>
            <a:solidFill>
              <a:schemeClr val="accent1"/>
            </a:solidFill>
            <a:ln>
              <a:noFill/>
            </a:ln>
            <a:effectLst/>
          </c:spPr>
          <c:invertIfNegative val="0"/>
          <c:val>
            <c:numRef>
              <c:f>'Pivot Table'!$O$10</c:f>
              <c:numCache>
                <c:formatCode>0%</c:formatCode>
                <c:ptCount val="1"/>
                <c:pt idx="0">
                  <c:v>0.38</c:v>
                </c:pt>
              </c:numCache>
            </c:numRef>
          </c:val>
          <c:extLst>
            <c:ext xmlns:c16="http://schemas.microsoft.com/office/drawing/2014/chart" uri="{C3380CC4-5D6E-409C-BE32-E72D297353CC}">
              <c16:uniqueId val="{00000000-2694-462D-B186-11EFCE963293}"/>
            </c:ext>
          </c:extLst>
        </c:ser>
        <c:ser>
          <c:idx val="1"/>
          <c:order val="1"/>
          <c:spPr>
            <a:solidFill>
              <a:schemeClr val="accent2"/>
            </a:solidFill>
            <a:ln>
              <a:noFill/>
            </a:ln>
            <a:effectLst/>
          </c:spPr>
          <c:invertIfNegative val="0"/>
          <c:val>
            <c:numRef>
              <c:f>'Pivot Table'!$P$10</c:f>
              <c:numCache>
                <c:formatCode>0%</c:formatCode>
                <c:ptCount val="1"/>
                <c:pt idx="0">
                  <c:v>0.62</c:v>
                </c:pt>
              </c:numCache>
            </c:numRef>
          </c:val>
          <c:extLst>
            <c:ext xmlns:c16="http://schemas.microsoft.com/office/drawing/2014/chart" uri="{C3380CC4-5D6E-409C-BE32-E72D297353CC}">
              <c16:uniqueId val="{00000001-2694-462D-B186-11EFCE963293}"/>
            </c:ext>
          </c:extLst>
        </c:ser>
        <c:dLbls>
          <c:showLegendKey val="0"/>
          <c:showVal val="0"/>
          <c:showCatName val="0"/>
          <c:showSerName val="0"/>
          <c:showPercent val="0"/>
          <c:showBubbleSize val="0"/>
        </c:dLbls>
        <c:gapWidth val="150"/>
        <c:overlap val="100"/>
        <c:axId val="150881584"/>
        <c:axId val="150871024"/>
      </c:barChart>
      <c:catAx>
        <c:axId val="150881584"/>
        <c:scaling>
          <c:orientation val="minMax"/>
        </c:scaling>
        <c:delete val="1"/>
        <c:axPos val="l"/>
        <c:majorTickMark val="none"/>
        <c:minorTickMark val="none"/>
        <c:tickLblPos val="nextTo"/>
        <c:crossAx val="150871024"/>
        <c:crosses val="autoZero"/>
        <c:auto val="1"/>
        <c:lblAlgn val="ctr"/>
        <c:lblOffset val="100"/>
        <c:noMultiLvlLbl val="0"/>
      </c:catAx>
      <c:valAx>
        <c:axId val="150871024"/>
        <c:scaling>
          <c:orientation val="minMax"/>
        </c:scaling>
        <c:delete val="1"/>
        <c:axPos val="b"/>
        <c:numFmt formatCode="0%" sourceLinked="1"/>
        <c:majorTickMark val="none"/>
        <c:minorTickMark val="none"/>
        <c:tickLblPos val="nextTo"/>
        <c:crossAx val="15088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631183321856226E-2"/>
          <c:y val="1.389588199511888E-2"/>
          <c:w val="0.88308819920488191"/>
          <c:h val="1"/>
        </c:manualLayout>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33554"/>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333328141255666E-2"/>
          <c:y val="0.10820773373632829"/>
          <c:w val="0.90933334371748864"/>
          <c:h val="0.70333233182509181"/>
        </c:manualLayout>
      </c:layout>
      <c:barChart>
        <c:barDir val="col"/>
        <c:grouping val="clustered"/>
        <c:varyColors val="0"/>
        <c:ser>
          <c:idx val="0"/>
          <c:order val="0"/>
          <c:tx>
            <c:strRef>
              <c:f>'Pivot Table'!$D$29</c:f>
              <c:strCache>
                <c:ptCount val="1"/>
                <c:pt idx="0">
                  <c:v>Analyst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Table'!$F$29</c:f>
              <c:numCache>
                <c:formatCode>General</c:formatCode>
                <c:ptCount val="1"/>
                <c:pt idx="0">
                  <c:v>28</c:v>
                </c:pt>
              </c:numCache>
            </c:numRef>
          </c:val>
          <c:extLst>
            <c:ext xmlns:c16="http://schemas.microsoft.com/office/drawing/2014/chart" uri="{C3380CC4-5D6E-409C-BE32-E72D297353CC}">
              <c16:uniqueId val="{00000000-5EB2-427A-AC51-1171396CBD42}"/>
            </c:ext>
          </c:extLst>
        </c:ser>
        <c:ser>
          <c:idx val="1"/>
          <c:order val="1"/>
          <c:tx>
            <c:strRef>
              <c:f>'Pivot Table'!$D$30</c:f>
              <c:strCache>
                <c:ptCount val="1"/>
                <c:pt idx="0">
                  <c:v>Designer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Table'!$F$30</c:f>
              <c:numCache>
                <c:formatCode>General</c:formatCode>
                <c:ptCount val="1"/>
                <c:pt idx="0">
                  <c:v>110</c:v>
                </c:pt>
              </c:numCache>
            </c:numRef>
          </c:val>
          <c:extLst>
            <c:ext xmlns:c16="http://schemas.microsoft.com/office/drawing/2014/chart" uri="{C3380CC4-5D6E-409C-BE32-E72D297353CC}">
              <c16:uniqueId val="{00000001-5EB2-427A-AC51-1171396CBD42}"/>
            </c:ext>
          </c:extLst>
        </c:ser>
        <c:ser>
          <c:idx val="2"/>
          <c:order val="2"/>
          <c:tx>
            <c:strRef>
              <c:f>'Pivot Table'!$D$31</c:f>
              <c:strCache>
                <c:ptCount val="1"/>
                <c:pt idx="0">
                  <c:v>Developer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Table'!$F$31</c:f>
              <c:numCache>
                <c:formatCode>General</c:formatCode>
                <c:ptCount val="1"/>
                <c:pt idx="0">
                  <c:v>104</c:v>
                </c:pt>
              </c:numCache>
            </c:numRef>
          </c:val>
          <c:extLst>
            <c:ext xmlns:c16="http://schemas.microsoft.com/office/drawing/2014/chart" uri="{C3380CC4-5D6E-409C-BE32-E72D297353CC}">
              <c16:uniqueId val="{00000002-5EB2-427A-AC51-1171396CBD42}"/>
            </c:ext>
          </c:extLst>
        </c:ser>
        <c:ser>
          <c:idx val="3"/>
          <c:order val="3"/>
          <c:tx>
            <c:strRef>
              <c:f>'Pivot Table'!$D$32</c:f>
              <c:strCache>
                <c:ptCount val="1"/>
                <c:pt idx="0">
                  <c:v>HR Specialist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Table'!$F$32</c:f>
              <c:numCache>
                <c:formatCode>General</c:formatCode>
                <c:ptCount val="1"/>
                <c:pt idx="0">
                  <c:v>123</c:v>
                </c:pt>
              </c:numCache>
            </c:numRef>
          </c:val>
          <c:extLst>
            <c:ext xmlns:c16="http://schemas.microsoft.com/office/drawing/2014/chart" uri="{C3380CC4-5D6E-409C-BE32-E72D297353CC}">
              <c16:uniqueId val="{00000003-5EB2-427A-AC51-1171396CBD42}"/>
            </c:ext>
          </c:extLst>
        </c:ser>
        <c:ser>
          <c:idx val="4"/>
          <c:order val="4"/>
          <c:tx>
            <c:strRef>
              <c:f>'Pivot Table'!$D$33</c:f>
              <c:strCache>
                <c:ptCount val="1"/>
                <c:pt idx="0">
                  <c:v>Manager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Table'!$F$33</c:f>
              <c:numCache>
                <c:formatCode>General</c:formatCode>
                <c:ptCount val="1"/>
                <c:pt idx="0">
                  <c:v>122</c:v>
                </c:pt>
              </c:numCache>
            </c:numRef>
          </c:val>
          <c:extLst>
            <c:ext xmlns:c16="http://schemas.microsoft.com/office/drawing/2014/chart" uri="{C3380CC4-5D6E-409C-BE32-E72D297353CC}">
              <c16:uniqueId val="{00000004-5EB2-427A-AC51-1171396CBD42}"/>
            </c:ext>
          </c:extLst>
        </c:ser>
        <c:dLbls>
          <c:dLblPos val="outEnd"/>
          <c:showLegendKey val="0"/>
          <c:showVal val="1"/>
          <c:showCatName val="0"/>
          <c:showSerName val="0"/>
          <c:showPercent val="0"/>
          <c:showBubbleSize val="0"/>
        </c:dLbls>
        <c:gapWidth val="219"/>
        <c:overlap val="-27"/>
        <c:axId val="214343312"/>
        <c:axId val="214351472"/>
      </c:barChart>
      <c:catAx>
        <c:axId val="214343312"/>
        <c:scaling>
          <c:orientation val="minMax"/>
        </c:scaling>
        <c:delete val="1"/>
        <c:axPos val="b"/>
        <c:numFmt formatCode="General" sourceLinked="1"/>
        <c:majorTickMark val="none"/>
        <c:minorTickMark val="none"/>
        <c:tickLblPos val="nextTo"/>
        <c:crossAx val="214351472"/>
        <c:crosses val="autoZero"/>
        <c:auto val="1"/>
        <c:lblAlgn val="ctr"/>
        <c:lblOffset val="100"/>
        <c:noMultiLvlLbl val="0"/>
      </c:catAx>
      <c:valAx>
        <c:axId val="214351472"/>
        <c:scaling>
          <c:orientation val="minMax"/>
        </c:scaling>
        <c:delete val="1"/>
        <c:axPos val="l"/>
        <c:numFmt formatCode="General" sourceLinked="1"/>
        <c:majorTickMark val="none"/>
        <c:minorTickMark val="none"/>
        <c:tickLblPos val="nextTo"/>
        <c:crossAx val="214343312"/>
        <c:crosses val="autoZero"/>
        <c:crossBetween val="between"/>
      </c:valAx>
      <c:spPr>
        <a:noFill/>
        <a:ln>
          <a:noFill/>
        </a:ln>
        <a:effectLst/>
      </c:spPr>
    </c:plotArea>
    <c:legend>
      <c:legendPos val="b"/>
      <c:layout>
        <c:manualLayout>
          <c:xMode val="edge"/>
          <c:yMode val="edge"/>
          <c:x val="6.2993531320235024E-2"/>
          <c:y val="0.81154006556142011"/>
          <c:w val="0.937006468679765"/>
          <c:h val="0.1884599344385798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Table'!$I$31</c:f>
              <c:strCache>
                <c:ptCount val="1"/>
                <c:pt idx="0">
                  <c:v>Count of Full Name</c:v>
                </c:pt>
              </c:strCache>
            </c:strRef>
          </c:tx>
          <c:spPr>
            <a:solidFill>
              <a:srgbClr val="D4EAF7"/>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Table'!$H$32:$H$36</c:f>
              <c:strCache>
                <c:ptCount val="5"/>
                <c:pt idx="0">
                  <c:v>Central</c:v>
                </c:pt>
                <c:pt idx="1">
                  <c:v>East</c:v>
                </c:pt>
                <c:pt idx="2">
                  <c:v>North</c:v>
                </c:pt>
                <c:pt idx="3">
                  <c:v>South</c:v>
                </c:pt>
                <c:pt idx="4">
                  <c:v>West</c:v>
                </c:pt>
              </c:strCache>
            </c:strRef>
          </c:cat>
          <c:val>
            <c:numRef>
              <c:f>'Pivot Table'!$I$32:$I$36</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EFE9-48A1-9028-A842413DF4A1}"/>
            </c:ext>
          </c:extLst>
        </c:ser>
        <c:dLbls>
          <c:dLblPos val="outEnd"/>
          <c:showLegendKey val="0"/>
          <c:showVal val="1"/>
          <c:showCatName val="0"/>
          <c:showSerName val="0"/>
          <c:showPercent val="0"/>
          <c:showBubbleSize val="0"/>
        </c:dLbls>
        <c:gapWidth val="182"/>
        <c:axId val="214370192"/>
        <c:axId val="214372112"/>
      </c:barChart>
      <c:catAx>
        <c:axId val="214370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solidFill>
                <a:latin typeface="+mn-lt"/>
                <a:ea typeface="+mn-ea"/>
                <a:cs typeface="+mn-cs"/>
              </a:defRPr>
            </a:pPr>
            <a:endParaRPr lang="en-US"/>
          </a:p>
        </c:txPr>
        <c:crossAx val="214372112"/>
        <c:crosses val="autoZero"/>
        <c:auto val="1"/>
        <c:lblAlgn val="ctr"/>
        <c:lblOffset val="100"/>
        <c:noMultiLvlLbl val="0"/>
      </c:catAx>
      <c:valAx>
        <c:axId val="214372112"/>
        <c:scaling>
          <c:orientation val="minMax"/>
        </c:scaling>
        <c:delete val="1"/>
        <c:axPos val="b"/>
        <c:numFmt formatCode="General" sourceLinked="1"/>
        <c:majorTickMark val="out"/>
        <c:minorTickMark val="none"/>
        <c:tickLblPos val="nextTo"/>
        <c:crossAx val="21437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C107"/>
            </a:solidFill>
            <a:ln>
              <a:noFill/>
            </a:ln>
          </c:spPr>
          <c:dPt>
            <c:idx val="0"/>
            <c:bubble3D val="0"/>
            <c:spPr>
              <a:solidFill>
                <a:srgbClr val="FFC107"/>
              </a:solidFill>
              <a:ln w="19050">
                <a:noFill/>
              </a:ln>
              <a:effectLst/>
            </c:spPr>
            <c:extLst>
              <c:ext xmlns:c16="http://schemas.microsoft.com/office/drawing/2014/chart" uri="{C3380CC4-5D6E-409C-BE32-E72D297353CC}">
                <c16:uniqueId val="{00000001-323B-4DA4-85AB-9E068C68FE9C}"/>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323B-4DA4-85AB-9E068C68FE9C}"/>
              </c:ext>
            </c:extLst>
          </c:dPt>
          <c:val>
            <c:numRef>
              <c:f>'Pivot Table'!$O$19:$P$19</c:f>
              <c:numCache>
                <c:formatCode>0%</c:formatCode>
                <c:ptCount val="2"/>
                <c:pt idx="0">
                  <c:v>0.52</c:v>
                </c:pt>
                <c:pt idx="1">
                  <c:v>0.48</c:v>
                </c:pt>
              </c:numCache>
            </c:numRef>
          </c:val>
          <c:extLst>
            <c:ext xmlns:c16="http://schemas.microsoft.com/office/drawing/2014/chart" uri="{C3380CC4-5D6E-409C-BE32-E72D297353CC}">
              <c16:uniqueId val="{00000004-323B-4DA4-85AB-9E068C68FE9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162802692063914E-2"/>
          <c:y val="7.8036301552756773E-2"/>
          <c:w val="0.83044606807734411"/>
          <c:h val="0.81757079273194155"/>
        </c:manualLayout>
      </c:layout>
      <c:doughnutChart>
        <c:varyColors val="1"/>
        <c:ser>
          <c:idx val="0"/>
          <c:order val="0"/>
          <c:spPr>
            <a:solidFill>
              <a:srgbClr val="FFC107"/>
            </a:solidFill>
            <a:ln>
              <a:noFill/>
            </a:ln>
          </c:spPr>
          <c:dPt>
            <c:idx val="0"/>
            <c:bubble3D val="0"/>
            <c:spPr>
              <a:solidFill>
                <a:srgbClr val="FFC107"/>
              </a:solidFill>
              <a:ln w="19050">
                <a:noFill/>
              </a:ln>
              <a:effectLst/>
            </c:spPr>
            <c:extLst>
              <c:ext xmlns:c16="http://schemas.microsoft.com/office/drawing/2014/chart" uri="{C3380CC4-5D6E-409C-BE32-E72D297353CC}">
                <c16:uniqueId val="{00000001-D34F-4454-857A-EA733A6A367A}"/>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D34F-4454-857A-EA733A6A367A}"/>
              </c:ext>
            </c:extLst>
          </c:dPt>
          <c:val>
            <c:numRef>
              <c:f>'Pivot Table'!$O$20:$P$20</c:f>
              <c:numCache>
                <c:formatCode>0%</c:formatCode>
                <c:ptCount val="2"/>
                <c:pt idx="0">
                  <c:v>0.48</c:v>
                </c:pt>
                <c:pt idx="1">
                  <c:v>0.52</c:v>
                </c:pt>
              </c:numCache>
            </c:numRef>
          </c:val>
          <c:extLst>
            <c:ext xmlns:c16="http://schemas.microsoft.com/office/drawing/2014/chart" uri="{C3380CC4-5D6E-409C-BE32-E72D297353CC}">
              <c16:uniqueId val="{00000004-D34F-4454-857A-EA733A6A367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Table'!$O$30</c:f>
              <c:strCache>
                <c:ptCount val="1"/>
                <c:pt idx="0">
                  <c:v>Count of Full Name</c:v>
                </c:pt>
              </c:strCache>
            </c:strRef>
          </c:tx>
          <c:spPr>
            <a:solidFill>
              <a:schemeClr val="accent1"/>
            </a:solidFill>
            <a:ln>
              <a:noFill/>
            </a:ln>
            <a:effectLst/>
          </c:spPr>
          <c:invertIfNegative val="0"/>
          <c:dPt>
            <c:idx val="0"/>
            <c:invertIfNegative val="0"/>
            <c:bubble3D val="0"/>
            <c:spPr>
              <a:solidFill>
                <a:srgbClr val="FFC107"/>
              </a:solidFill>
              <a:ln>
                <a:noFill/>
              </a:ln>
              <a:effectLst/>
            </c:spPr>
            <c:extLst>
              <c:ext xmlns:c16="http://schemas.microsoft.com/office/drawing/2014/chart" uri="{C3380CC4-5D6E-409C-BE32-E72D297353CC}">
                <c16:uniqueId val="{00000001-A7B0-4E61-8EA7-FA4F5E4E4E02}"/>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2-A7B0-4E61-8EA7-FA4F5E4E4E0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A7B0-4E61-8EA7-FA4F5E4E4E02}"/>
              </c:ext>
            </c:extLst>
          </c:dPt>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Table'!$N$31:$N$33</c:f>
              <c:strCache>
                <c:ptCount val="3"/>
                <c:pt idx="0">
                  <c:v>Health</c:v>
                </c:pt>
                <c:pt idx="1">
                  <c:v>Health + Dental</c:v>
                </c:pt>
                <c:pt idx="2">
                  <c:v>None</c:v>
                </c:pt>
              </c:strCache>
            </c:strRef>
          </c:cat>
          <c:val>
            <c:numRef>
              <c:f>'Pivot Table'!$O$31:$O$33</c:f>
              <c:numCache>
                <c:formatCode>General</c:formatCode>
                <c:ptCount val="3"/>
                <c:pt idx="0">
                  <c:v>17</c:v>
                </c:pt>
                <c:pt idx="1">
                  <c:v>17</c:v>
                </c:pt>
                <c:pt idx="2">
                  <c:v>16</c:v>
                </c:pt>
              </c:numCache>
            </c:numRef>
          </c:val>
          <c:extLst>
            <c:ext xmlns:c16="http://schemas.microsoft.com/office/drawing/2014/chart" uri="{C3380CC4-5D6E-409C-BE32-E72D297353CC}">
              <c16:uniqueId val="{00000000-A7B0-4E61-8EA7-FA4F5E4E4E02}"/>
            </c:ext>
          </c:extLst>
        </c:ser>
        <c:dLbls>
          <c:dLblPos val="outEnd"/>
          <c:showLegendKey val="0"/>
          <c:showVal val="1"/>
          <c:showCatName val="0"/>
          <c:showSerName val="0"/>
          <c:showPercent val="0"/>
          <c:showBubbleSize val="0"/>
        </c:dLbls>
        <c:gapWidth val="182"/>
        <c:axId val="885167855"/>
        <c:axId val="885165935"/>
      </c:barChart>
      <c:catAx>
        <c:axId val="885167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bg1"/>
                </a:solidFill>
                <a:latin typeface="+mn-lt"/>
                <a:ea typeface="+mn-ea"/>
                <a:cs typeface="+mn-cs"/>
              </a:defRPr>
            </a:pPr>
            <a:endParaRPr lang="en-US"/>
          </a:p>
        </c:txPr>
        <c:crossAx val="885165935"/>
        <c:crosses val="autoZero"/>
        <c:auto val="1"/>
        <c:lblAlgn val="ctr"/>
        <c:lblOffset val="100"/>
        <c:noMultiLvlLbl val="0"/>
      </c:catAx>
      <c:valAx>
        <c:axId val="885165935"/>
        <c:scaling>
          <c:orientation val="minMax"/>
        </c:scaling>
        <c:delete val="1"/>
        <c:axPos val="b"/>
        <c:numFmt formatCode="General" sourceLinked="1"/>
        <c:majorTickMark val="none"/>
        <c:minorTickMark val="none"/>
        <c:tickLblPos val="nextTo"/>
        <c:crossAx val="8851678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Table'!$O$56</c:f>
              <c:strCache>
                <c:ptCount val="1"/>
                <c:pt idx="0">
                  <c:v>Count of Full Name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Table'!$N$57:$N$61</c:f>
              <c:strCache>
                <c:ptCount val="5"/>
                <c:pt idx="0">
                  <c:v>Finance</c:v>
                </c:pt>
                <c:pt idx="1">
                  <c:v>HR</c:v>
                </c:pt>
                <c:pt idx="2">
                  <c:v>IT</c:v>
                </c:pt>
                <c:pt idx="3">
                  <c:v>Marketing</c:v>
                </c:pt>
                <c:pt idx="4">
                  <c:v>Operations</c:v>
                </c:pt>
              </c:strCache>
            </c:strRef>
          </c:cat>
          <c:val>
            <c:numRef>
              <c:f>'Pivot Table'!$O$57:$O$61</c:f>
              <c:numCache>
                <c:formatCode>General</c:formatCode>
                <c:ptCount val="5"/>
                <c:pt idx="0">
                  <c:v>12</c:v>
                </c:pt>
                <c:pt idx="1">
                  <c:v>10</c:v>
                </c:pt>
                <c:pt idx="2">
                  <c:v>8</c:v>
                </c:pt>
                <c:pt idx="3">
                  <c:v>11</c:v>
                </c:pt>
                <c:pt idx="4">
                  <c:v>9</c:v>
                </c:pt>
              </c:numCache>
            </c:numRef>
          </c:val>
          <c:extLst>
            <c:ext xmlns:c16="http://schemas.microsoft.com/office/drawing/2014/chart" uri="{C3380CC4-5D6E-409C-BE32-E72D297353CC}">
              <c16:uniqueId val="{00000000-B93A-42FE-B368-59E2B26CECFE}"/>
            </c:ext>
          </c:extLst>
        </c:ser>
        <c:dLbls>
          <c:dLblPos val="outEnd"/>
          <c:showLegendKey val="0"/>
          <c:showVal val="1"/>
          <c:showCatName val="0"/>
          <c:showSerName val="0"/>
          <c:showPercent val="0"/>
          <c:showBubbleSize val="0"/>
        </c:dLbls>
        <c:gapWidth val="182"/>
        <c:axId val="573677519"/>
        <c:axId val="573672239"/>
      </c:barChart>
      <c:catAx>
        <c:axId val="57367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crossAx val="573672239"/>
        <c:crosses val="autoZero"/>
        <c:auto val="1"/>
        <c:lblAlgn val="ctr"/>
        <c:lblOffset val="100"/>
        <c:noMultiLvlLbl val="0"/>
      </c:catAx>
      <c:valAx>
        <c:axId val="573672239"/>
        <c:scaling>
          <c:orientation val="minMax"/>
        </c:scaling>
        <c:delete val="1"/>
        <c:axPos val="b"/>
        <c:numFmt formatCode="General" sourceLinked="1"/>
        <c:majorTickMark val="none"/>
        <c:minorTickMark val="none"/>
        <c:tickLblPos val="nextTo"/>
        <c:crossAx val="5736775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11F185-4ABD-4C03-995B-13642F6C4E56}">
          <cx:tx>
            <cx:txData>
              <cx:f>_xlchart.v2.1</cx:f>
              <cx:v>Sum of Salary</cx:v>
            </cx:txData>
          </cx:tx>
          <cx:spPr>
            <a:solidFill>
              <a:schemeClr val="accent2"/>
            </a:solidFill>
            <a:ln>
              <a:noFill/>
            </a:ln>
          </cx:spPr>
          <cx:dataPt idx="0">
            <cx:spPr>
              <a:solidFill>
                <a:srgbClr val="5B9BD5"/>
              </a:solidFill>
            </cx:spPr>
          </cx:dataPt>
          <cx:dataPt idx="1">
            <cx:spPr>
              <a:solidFill>
                <a:srgbClr val="5B9BD5"/>
              </a:solidFill>
            </cx:spPr>
          </cx:dataPt>
          <cx:dataPt idx="2">
            <cx:spPr>
              <a:solidFill>
                <a:srgbClr val="5B9BD5"/>
              </a:solidFill>
            </cx:spPr>
          </cx:dataPt>
          <cx:dataLabels>
            <cx:txPr>
              <a:bodyPr vertOverflow="overflow" horzOverflow="overflow" wrap="square" lIns="0" tIns="0" rIns="0" bIns="0"/>
              <a:lstStyle/>
              <a:p>
                <a:pPr algn="ctr" rtl="0">
                  <a:defRPr lang="en-US" sz="1600" b="1" i="0" u="none" strike="noStrike" kern="1200" baseline="0">
                    <a:solidFill>
                      <a:schemeClr val="bg1"/>
                    </a:solidFill>
                    <a:latin typeface="+mn-lt"/>
                    <a:ea typeface="+mn-ea"/>
                    <a:cs typeface="+mn-cs"/>
                  </a:defRPr>
                </a:pPr>
                <a:endParaRPr lang="en-US" sz="1600" b="1" i="0" u="none" strike="noStrike" kern="1200" baseline="0">
                  <a:solidFill>
                    <a:schemeClr val="bg1"/>
                  </a:solidFill>
                  <a:latin typeface="+mn-lt"/>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400" b="1" i="0" u="none" strike="noStrike" kern="1200" baseline="0">
                <a:solidFill>
                  <a:schemeClr val="bg1"/>
                </a:solidFill>
                <a:latin typeface="+mn-lt"/>
                <a:ea typeface="+mn-ea"/>
                <a:cs typeface="+mn-cs"/>
              </a:defRPr>
            </a:pPr>
            <a:endParaRPr lang="en-US" sz="1400" b="1" i="0" u="none" strike="noStrike" kern="1200" baseline="0">
              <a:solidFill>
                <a:schemeClr val="bg1"/>
              </a:solidFill>
              <a:latin typeface="+mn-lt"/>
              <a:ea typeface="+mn-ea"/>
              <a:cs typeface="+mn-cs"/>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9.xml"/><Relationship Id="rId1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17" Type="http://schemas.openxmlformats.org/officeDocument/2006/relationships/chart" Target="../charts/chart12.xml"/><Relationship Id="rId2" Type="http://schemas.openxmlformats.org/officeDocument/2006/relationships/chart" Target="../charts/chart2.xml"/><Relationship Id="rId16"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https://www.freepik.com/icon/progress_16506703#fromView=search&amp;page=1&amp;position=89&amp;uuid=6232e8d0-2804-48c0-b44d-6c86e341491f" TargetMode="External"/><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17</xdr:col>
      <xdr:colOff>571500</xdr:colOff>
      <xdr:row>16</xdr:row>
      <xdr:rowOff>19050</xdr:rowOff>
    </xdr:from>
    <xdr:to>
      <xdr:col>19</xdr:col>
      <xdr:colOff>762000</xdr:colOff>
      <xdr:row>20</xdr:row>
      <xdr:rowOff>123825</xdr:rowOff>
    </xdr:to>
    <mc:AlternateContent xmlns:mc="http://schemas.openxmlformats.org/markup-compatibility/2006" xmlns:a14="http://schemas.microsoft.com/office/drawing/2010/main">
      <mc:Choice Requires="a14">
        <xdr:graphicFrame macro="">
          <xdr:nvGraphicFramePr>
            <xdr:cNvPr id="24" name="Gender 1">
              <a:extLst>
                <a:ext uri="{FF2B5EF4-FFF2-40B4-BE49-F238E27FC236}">
                  <a16:creationId xmlns:a16="http://schemas.microsoft.com/office/drawing/2014/main" id="{CE4972A3-68EF-4F99-8A2A-934DAAE922F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031075" y="3086100"/>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67236</xdr:colOff>
      <xdr:row>27</xdr:row>
      <xdr:rowOff>78440</xdr:rowOff>
    </xdr:from>
    <xdr:to>
      <xdr:col>16</xdr:col>
      <xdr:colOff>403413</xdr:colOff>
      <xdr:row>45</xdr:row>
      <xdr:rowOff>168087</xdr:rowOff>
    </xdr:to>
    <xdr:sp macro="" textlink="">
      <xdr:nvSpPr>
        <xdr:cNvPr id="11" name="Rectangle: Rounded Corners 10">
          <a:extLst>
            <a:ext uri="{FF2B5EF4-FFF2-40B4-BE49-F238E27FC236}">
              <a16:creationId xmlns:a16="http://schemas.microsoft.com/office/drawing/2014/main" id="{489FD79C-6AE2-0E29-1C1C-BFD472D93064}"/>
            </a:ext>
          </a:extLst>
        </xdr:cNvPr>
        <xdr:cNvSpPr/>
      </xdr:nvSpPr>
      <xdr:spPr>
        <a:xfrm>
          <a:off x="6723530" y="5221940"/>
          <a:ext cx="3361765" cy="3518647"/>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224118</xdr:colOff>
      <xdr:row>29</xdr:row>
      <xdr:rowOff>168088</xdr:rowOff>
    </xdr:from>
    <xdr:to>
      <xdr:col>4</xdr:col>
      <xdr:colOff>504265</xdr:colOff>
      <xdr:row>46</xdr:row>
      <xdr:rowOff>1</xdr:rowOff>
    </xdr:to>
    <xdr:sp macro="" textlink="">
      <xdr:nvSpPr>
        <xdr:cNvPr id="4" name="Rectangle: Rounded Corners 3">
          <a:extLst>
            <a:ext uri="{FF2B5EF4-FFF2-40B4-BE49-F238E27FC236}">
              <a16:creationId xmlns:a16="http://schemas.microsoft.com/office/drawing/2014/main" id="{8EF60A74-EB4F-D105-DC1A-DF9BFEF29E02}"/>
            </a:ext>
          </a:extLst>
        </xdr:cNvPr>
        <xdr:cNvSpPr/>
      </xdr:nvSpPr>
      <xdr:spPr>
        <a:xfrm>
          <a:off x="224118" y="5692588"/>
          <a:ext cx="2700618" cy="3070413"/>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257735</xdr:colOff>
      <xdr:row>7</xdr:row>
      <xdr:rowOff>33618</xdr:rowOff>
    </xdr:from>
    <xdr:to>
      <xdr:col>4</xdr:col>
      <xdr:colOff>481853</xdr:colOff>
      <xdr:row>28</xdr:row>
      <xdr:rowOff>145677</xdr:rowOff>
    </xdr:to>
    <xdr:sp macro="" textlink="">
      <xdr:nvSpPr>
        <xdr:cNvPr id="6" name="Rectangle: Rounded Corners 5">
          <a:extLst>
            <a:ext uri="{FF2B5EF4-FFF2-40B4-BE49-F238E27FC236}">
              <a16:creationId xmlns:a16="http://schemas.microsoft.com/office/drawing/2014/main" id="{5C484049-BBA6-44B7-17D7-A3FDA091E60E}"/>
            </a:ext>
          </a:extLst>
        </xdr:cNvPr>
        <xdr:cNvSpPr/>
      </xdr:nvSpPr>
      <xdr:spPr>
        <a:xfrm>
          <a:off x="257735" y="1367118"/>
          <a:ext cx="2644589" cy="4112559"/>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6</xdr:col>
      <xdr:colOff>504265</xdr:colOff>
      <xdr:row>18</xdr:row>
      <xdr:rowOff>0</xdr:rowOff>
    </xdr:from>
    <xdr:ext cx="184731" cy="264560"/>
    <xdr:sp macro="" textlink="">
      <xdr:nvSpPr>
        <xdr:cNvPr id="8" name="TextBox 7">
          <a:extLst>
            <a:ext uri="{FF2B5EF4-FFF2-40B4-BE49-F238E27FC236}">
              <a16:creationId xmlns:a16="http://schemas.microsoft.com/office/drawing/2014/main" id="{C1656231-666C-5FE7-35CD-6A453D482DDA}"/>
            </a:ext>
          </a:extLst>
        </xdr:cNvPr>
        <xdr:cNvSpPr txBox="1"/>
      </xdr:nvSpPr>
      <xdr:spPr>
        <a:xfrm>
          <a:off x="4134971" y="342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11207</xdr:colOff>
      <xdr:row>27</xdr:row>
      <xdr:rowOff>134471</xdr:rowOff>
    </xdr:from>
    <xdr:to>
      <xdr:col>10</xdr:col>
      <xdr:colOff>347384</xdr:colOff>
      <xdr:row>46</xdr:row>
      <xdr:rowOff>22412</xdr:rowOff>
    </xdr:to>
    <xdr:sp macro="" textlink="">
      <xdr:nvSpPr>
        <xdr:cNvPr id="9" name="Rectangle: Rounded Corners 8">
          <a:extLst>
            <a:ext uri="{FF2B5EF4-FFF2-40B4-BE49-F238E27FC236}">
              <a16:creationId xmlns:a16="http://schemas.microsoft.com/office/drawing/2014/main" id="{91A1CD78-B2A9-3DBC-2CA5-D7751102C3B0}"/>
            </a:ext>
          </a:extLst>
        </xdr:cNvPr>
        <xdr:cNvSpPr/>
      </xdr:nvSpPr>
      <xdr:spPr>
        <a:xfrm>
          <a:off x="3041889" y="5144374"/>
          <a:ext cx="3366859" cy="3413428"/>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33618</xdr:colOff>
      <xdr:row>7</xdr:row>
      <xdr:rowOff>89647</xdr:rowOff>
    </xdr:from>
    <xdr:to>
      <xdr:col>16</xdr:col>
      <xdr:colOff>369795</xdr:colOff>
      <xdr:row>26</xdr:row>
      <xdr:rowOff>22412</xdr:rowOff>
    </xdr:to>
    <xdr:sp macro="" textlink="">
      <xdr:nvSpPr>
        <xdr:cNvPr id="12" name="Rectangle: Rounded Corners 11">
          <a:extLst>
            <a:ext uri="{FF2B5EF4-FFF2-40B4-BE49-F238E27FC236}">
              <a16:creationId xmlns:a16="http://schemas.microsoft.com/office/drawing/2014/main" id="{FC6A7E34-2130-688A-70DC-2857B50B9C14}"/>
            </a:ext>
          </a:extLst>
        </xdr:cNvPr>
        <xdr:cNvSpPr/>
      </xdr:nvSpPr>
      <xdr:spPr>
        <a:xfrm>
          <a:off x="6689912" y="1423147"/>
          <a:ext cx="3361765" cy="3552265"/>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89647</xdr:colOff>
      <xdr:row>7</xdr:row>
      <xdr:rowOff>67235</xdr:rowOff>
    </xdr:from>
    <xdr:to>
      <xdr:col>10</xdr:col>
      <xdr:colOff>425824</xdr:colOff>
      <xdr:row>16</xdr:row>
      <xdr:rowOff>179293</xdr:rowOff>
    </xdr:to>
    <xdr:sp macro="" textlink="">
      <xdr:nvSpPr>
        <xdr:cNvPr id="2" name="Rectangle: Rounded Corners 1">
          <a:extLst>
            <a:ext uri="{FF2B5EF4-FFF2-40B4-BE49-F238E27FC236}">
              <a16:creationId xmlns:a16="http://schemas.microsoft.com/office/drawing/2014/main" id="{61F87F11-C013-3942-7042-41F3233BA374}"/>
            </a:ext>
          </a:extLst>
        </xdr:cNvPr>
        <xdr:cNvSpPr/>
      </xdr:nvSpPr>
      <xdr:spPr>
        <a:xfrm>
          <a:off x="3115235" y="1400735"/>
          <a:ext cx="3361765" cy="1826558"/>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100855</xdr:colOff>
      <xdr:row>17</xdr:row>
      <xdr:rowOff>100854</xdr:rowOff>
    </xdr:from>
    <xdr:to>
      <xdr:col>7</xdr:col>
      <xdr:colOff>459442</xdr:colOff>
      <xdr:row>26</xdr:row>
      <xdr:rowOff>100854</xdr:rowOff>
    </xdr:to>
    <xdr:sp macro="" textlink="">
      <xdr:nvSpPr>
        <xdr:cNvPr id="10" name="Rectangle: Rounded Corners 9">
          <a:extLst>
            <a:ext uri="{FF2B5EF4-FFF2-40B4-BE49-F238E27FC236}">
              <a16:creationId xmlns:a16="http://schemas.microsoft.com/office/drawing/2014/main" id="{5FC439DB-B101-1043-9606-96A54738E4DE}"/>
            </a:ext>
          </a:extLst>
        </xdr:cNvPr>
        <xdr:cNvSpPr/>
      </xdr:nvSpPr>
      <xdr:spPr>
        <a:xfrm>
          <a:off x="3126443" y="3339354"/>
          <a:ext cx="1568823" cy="1714500"/>
        </a:xfrm>
        <a:prstGeom prst="roundRect">
          <a:avLst/>
        </a:prstGeom>
        <a:solidFill>
          <a:srgbClr val="3335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22410</xdr:colOff>
      <xdr:row>12</xdr:row>
      <xdr:rowOff>100852</xdr:rowOff>
    </xdr:from>
    <xdr:to>
      <xdr:col>23</xdr:col>
      <xdr:colOff>67235</xdr:colOff>
      <xdr:row>24</xdr:row>
      <xdr:rowOff>134471</xdr:rowOff>
    </xdr:to>
    <xdr:sp macro="" textlink="">
      <xdr:nvSpPr>
        <xdr:cNvPr id="27" name="Rectangle: Rounded Corners 26">
          <a:extLst>
            <a:ext uri="{FF2B5EF4-FFF2-40B4-BE49-F238E27FC236}">
              <a16:creationId xmlns:a16="http://schemas.microsoft.com/office/drawing/2014/main" id="{E25331C0-CF31-9D66-0416-93ED3137C4AC}"/>
            </a:ext>
          </a:extLst>
        </xdr:cNvPr>
        <xdr:cNvSpPr/>
      </xdr:nvSpPr>
      <xdr:spPr>
        <a:xfrm>
          <a:off x="10309410" y="2386852"/>
          <a:ext cx="3675531" cy="2319619"/>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1890</xdr:colOff>
      <xdr:row>0</xdr:row>
      <xdr:rowOff>168088</xdr:rowOff>
    </xdr:from>
    <xdr:to>
      <xdr:col>23</xdr:col>
      <xdr:colOff>46715</xdr:colOff>
      <xdr:row>11</xdr:row>
      <xdr:rowOff>123264</xdr:rowOff>
    </xdr:to>
    <xdr:sp macro="" textlink="">
      <xdr:nvSpPr>
        <xdr:cNvPr id="28" name="Rectangle: Rounded Corners 27">
          <a:extLst>
            <a:ext uri="{FF2B5EF4-FFF2-40B4-BE49-F238E27FC236}">
              <a16:creationId xmlns:a16="http://schemas.microsoft.com/office/drawing/2014/main" id="{CADD9186-E886-CD43-EDC0-C2A979BB30D0}"/>
            </a:ext>
          </a:extLst>
        </xdr:cNvPr>
        <xdr:cNvSpPr/>
      </xdr:nvSpPr>
      <xdr:spPr>
        <a:xfrm>
          <a:off x="10306208" y="168088"/>
          <a:ext cx="3681643" cy="1996247"/>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268941</xdr:colOff>
      <xdr:row>35</xdr:row>
      <xdr:rowOff>78441</xdr:rowOff>
    </xdr:from>
    <xdr:to>
      <xdr:col>22</xdr:col>
      <xdr:colOff>67235</xdr:colOff>
      <xdr:row>40</xdr:row>
      <xdr:rowOff>67235</xdr:rowOff>
    </xdr:to>
    <xdr:sp macro="" textlink="">
      <xdr:nvSpPr>
        <xdr:cNvPr id="31" name="TextBox 30">
          <a:extLst>
            <a:ext uri="{FF2B5EF4-FFF2-40B4-BE49-F238E27FC236}">
              <a16:creationId xmlns:a16="http://schemas.microsoft.com/office/drawing/2014/main" id="{5ACDC53E-F119-5A3F-F1AC-2EC1082124DF}"/>
            </a:ext>
          </a:extLst>
        </xdr:cNvPr>
        <xdr:cNvSpPr txBox="1"/>
      </xdr:nvSpPr>
      <xdr:spPr>
        <a:xfrm>
          <a:off x="12371294" y="6745941"/>
          <a:ext cx="1008529" cy="941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800" b="1"/>
        </a:p>
      </xdr:txBody>
    </xdr:sp>
    <xdr:clientData/>
  </xdr:twoCellAnchor>
  <xdr:twoCellAnchor>
    <xdr:from>
      <xdr:col>17</xdr:col>
      <xdr:colOff>44821</xdr:colOff>
      <xdr:row>37</xdr:row>
      <xdr:rowOff>21761</xdr:rowOff>
    </xdr:from>
    <xdr:to>
      <xdr:col>19</xdr:col>
      <xdr:colOff>507306</xdr:colOff>
      <xdr:row>45</xdr:row>
      <xdr:rowOff>134470</xdr:rowOff>
    </xdr:to>
    <xdr:sp macro="" textlink="">
      <xdr:nvSpPr>
        <xdr:cNvPr id="15" name="Rectangle: Rounded Corners 14">
          <a:extLst>
            <a:ext uri="{FF2B5EF4-FFF2-40B4-BE49-F238E27FC236}">
              <a16:creationId xmlns:a16="http://schemas.microsoft.com/office/drawing/2014/main" id="{BBFE1D5D-11C7-2892-F328-82340F6FB976}"/>
            </a:ext>
          </a:extLst>
        </xdr:cNvPr>
        <xdr:cNvSpPr/>
      </xdr:nvSpPr>
      <xdr:spPr>
        <a:xfrm>
          <a:off x="10331821" y="7070261"/>
          <a:ext cx="1672720" cy="1636709"/>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165045</xdr:colOff>
      <xdr:row>37</xdr:row>
      <xdr:rowOff>21761</xdr:rowOff>
    </xdr:from>
    <xdr:to>
      <xdr:col>23</xdr:col>
      <xdr:colOff>22412</xdr:colOff>
      <xdr:row>45</xdr:row>
      <xdr:rowOff>134470</xdr:rowOff>
    </xdr:to>
    <xdr:sp macro="" textlink="">
      <xdr:nvSpPr>
        <xdr:cNvPr id="16" name="Rectangle: Rounded Corners 15">
          <a:extLst>
            <a:ext uri="{FF2B5EF4-FFF2-40B4-BE49-F238E27FC236}">
              <a16:creationId xmlns:a16="http://schemas.microsoft.com/office/drawing/2014/main" id="{84D8F42E-5AB2-CE79-EF0E-7EF30915F992}"/>
            </a:ext>
          </a:extLst>
        </xdr:cNvPr>
        <xdr:cNvSpPr/>
      </xdr:nvSpPr>
      <xdr:spPr>
        <a:xfrm>
          <a:off x="12267398" y="7070261"/>
          <a:ext cx="1672720" cy="1636709"/>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165045</xdr:colOff>
      <xdr:row>27</xdr:row>
      <xdr:rowOff>11206</xdr:rowOff>
    </xdr:from>
    <xdr:to>
      <xdr:col>23</xdr:col>
      <xdr:colOff>22412</xdr:colOff>
      <xdr:row>35</xdr:row>
      <xdr:rowOff>123915</xdr:rowOff>
    </xdr:to>
    <xdr:sp macro="" textlink="">
      <xdr:nvSpPr>
        <xdr:cNvPr id="17" name="Rectangle: Rounded Corners 16">
          <a:extLst>
            <a:ext uri="{FF2B5EF4-FFF2-40B4-BE49-F238E27FC236}">
              <a16:creationId xmlns:a16="http://schemas.microsoft.com/office/drawing/2014/main" id="{5F17CD34-FE7E-551E-69B4-531DE1914D76}"/>
            </a:ext>
          </a:extLst>
        </xdr:cNvPr>
        <xdr:cNvSpPr/>
      </xdr:nvSpPr>
      <xdr:spPr>
        <a:xfrm>
          <a:off x="12267398" y="5154706"/>
          <a:ext cx="1672720" cy="1636709"/>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257735</xdr:colOff>
      <xdr:row>27</xdr:row>
      <xdr:rowOff>44822</xdr:rowOff>
    </xdr:from>
    <xdr:to>
      <xdr:col>22</xdr:col>
      <xdr:colOff>383474</xdr:colOff>
      <xdr:row>33</xdr:row>
      <xdr:rowOff>86591</xdr:rowOff>
    </xdr:to>
    <xdr:sp macro="" textlink="">
      <xdr:nvSpPr>
        <xdr:cNvPr id="29" name="TextBox 28">
          <a:extLst>
            <a:ext uri="{FF2B5EF4-FFF2-40B4-BE49-F238E27FC236}">
              <a16:creationId xmlns:a16="http://schemas.microsoft.com/office/drawing/2014/main" id="{87CABC09-00C0-DABA-02AA-C30C8A72708B}"/>
            </a:ext>
          </a:extLst>
        </xdr:cNvPr>
        <xdr:cNvSpPr txBox="1"/>
      </xdr:nvSpPr>
      <xdr:spPr>
        <a:xfrm>
          <a:off x="12380462" y="5054725"/>
          <a:ext cx="1338012" cy="1155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rPr>
            <a:t>Part</a:t>
          </a:r>
        </a:p>
        <a:p>
          <a:r>
            <a:rPr lang="en-US" sz="2000" b="0">
              <a:solidFill>
                <a:schemeClr val="bg1"/>
              </a:solidFill>
            </a:rPr>
            <a:t>Time</a:t>
          </a:r>
        </a:p>
        <a:p>
          <a:r>
            <a:rPr lang="en-US" sz="2000" b="0">
              <a:solidFill>
                <a:schemeClr val="bg1"/>
              </a:solidFill>
            </a:rPr>
            <a:t>Emplyee</a:t>
          </a:r>
        </a:p>
      </xdr:txBody>
    </xdr:sp>
    <xdr:clientData/>
  </xdr:twoCellAnchor>
  <xdr:twoCellAnchor>
    <xdr:from>
      <xdr:col>21</xdr:col>
      <xdr:colOff>380998</xdr:colOff>
      <xdr:row>31</xdr:row>
      <xdr:rowOff>134471</xdr:rowOff>
    </xdr:from>
    <xdr:to>
      <xdr:col>23</xdr:col>
      <xdr:colOff>67235</xdr:colOff>
      <xdr:row>34</xdr:row>
      <xdr:rowOff>156883</xdr:rowOff>
    </xdr:to>
    <xdr:sp macro="" textlink="'Pivot Table'!C11">
      <xdr:nvSpPr>
        <xdr:cNvPr id="32" name="TextBox 31">
          <a:extLst>
            <a:ext uri="{FF2B5EF4-FFF2-40B4-BE49-F238E27FC236}">
              <a16:creationId xmlns:a16="http://schemas.microsoft.com/office/drawing/2014/main" id="{144D3887-EB73-B78C-42AA-2BDFA62F74CB}"/>
            </a:ext>
          </a:extLst>
        </xdr:cNvPr>
        <xdr:cNvSpPr txBox="1"/>
      </xdr:nvSpPr>
      <xdr:spPr>
        <a:xfrm>
          <a:off x="13088469" y="6039971"/>
          <a:ext cx="896472" cy="59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576106-3346-4EAA-95DE-23F825CDCE25}" type="TxLink">
            <a:rPr lang="en-US" sz="4000" b="1" i="0" u="none" strike="noStrike">
              <a:solidFill>
                <a:schemeClr val="bg1"/>
              </a:solidFill>
              <a:latin typeface="Calibri"/>
              <a:ea typeface="Calibri"/>
              <a:cs typeface="Calibri"/>
            </a:rPr>
            <a:pPr/>
            <a:t>13</a:t>
          </a:fld>
          <a:endParaRPr lang="en-US" sz="4000" b="1">
            <a:solidFill>
              <a:schemeClr val="bg1"/>
            </a:solidFill>
          </a:endParaRPr>
        </a:p>
      </xdr:txBody>
    </xdr:sp>
    <xdr:clientData/>
  </xdr:twoCellAnchor>
  <xdr:twoCellAnchor>
    <xdr:from>
      <xdr:col>20</xdr:col>
      <xdr:colOff>268942</xdr:colOff>
      <xdr:row>37</xdr:row>
      <xdr:rowOff>67234</xdr:rowOff>
    </xdr:from>
    <xdr:to>
      <xdr:col>22</xdr:col>
      <xdr:colOff>309253</xdr:colOff>
      <xdr:row>44</xdr:row>
      <xdr:rowOff>61850</xdr:rowOff>
    </xdr:to>
    <xdr:sp macro="" textlink="">
      <xdr:nvSpPr>
        <xdr:cNvPr id="33" name="TextBox 32">
          <a:extLst>
            <a:ext uri="{FF2B5EF4-FFF2-40B4-BE49-F238E27FC236}">
              <a16:creationId xmlns:a16="http://schemas.microsoft.com/office/drawing/2014/main" id="{9150E342-850D-FE70-447F-A3F8CBB31E1E}"/>
            </a:ext>
          </a:extLst>
        </xdr:cNvPr>
        <xdr:cNvSpPr txBox="1"/>
      </xdr:nvSpPr>
      <xdr:spPr>
        <a:xfrm>
          <a:off x="12391669" y="6932656"/>
          <a:ext cx="1252584" cy="1293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rPr>
            <a:t>Full</a:t>
          </a:r>
          <a:endParaRPr lang="en-US" sz="1800" b="0">
            <a:solidFill>
              <a:schemeClr val="bg1"/>
            </a:solidFill>
          </a:endParaRPr>
        </a:p>
        <a:p>
          <a:r>
            <a:rPr lang="en-US" sz="2000" b="0">
              <a:solidFill>
                <a:schemeClr val="bg1"/>
              </a:solidFill>
              <a:latin typeface="+mn-lt"/>
              <a:ea typeface="+mn-ea"/>
              <a:cs typeface="+mn-cs"/>
            </a:rPr>
            <a:t>Time</a:t>
          </a:r>
        </a:p>
        <a:p>
          <a:r>
            <a:rPr lang="en-US" sz="2000" b="0">
              <a:solidFill>
                <a:schemeClr val="bg1"/>
              </a:solidFill>
            </a:rPr>
            <a:t>Emplyee</a:t>
          </a:r>
          <a:endParaRPr lang="en-US" sz="1800" b="0">
            <a:solidFill>
              <a:schemeClr val="bg1"/>
            </a:solidFill>
          </a:endParaRPr>
        </a:p>
      </xdr:txBody>
    </xdr:sp>
    <xdr:clientData/>
  </xdr:twoCellAnchor>
  <xdr:twoCellAnchor>
    <xdr:from>
      <xdr:col>21</xdr:col>
      <xdr:colOff>403410</xdr:colOff>
      <xdr:row>42</xdr:row>
      <xdr:rowOff>11207</xdr:rowOff>
    </xdr:from>
    <xdr:to>
      <xdr:col>23</xdr:col>
      <xdr:colOff>89647</xdr:colOff>
      <xdr:row>45</xdr:row>
      <xdr:rowOff>33619</xdr:rowOff>
    </xdr:to>
    <xdr:sp macro="" textlink="'Pivot Table'!C10">
      <xdr:nvSpPr>
        <xdr:cNvPr id="34" name="TextBox 33">
          <a:extLst>
            <a:ext uri="{FF2B5EF4-FFF2-40B4-BE49-F238E27FC236}">
              <a16:creationId xmlns:a16="http://schemas.microsoft.com/office/drawing/2014/main" id="{0F659ADA-506F-58E4-3AFD-6F9B9A846169}"/>
            </a:ext>
          </a:extLst>
        </xdr:cNvPr>
        <xdr:cNvSpPr txBox="1"/>
      </xdr:nvSpPr>
      <xdr:spPr>
        <a:xfrm>
          <a:off x="13110881" y="8012207"/>
          <a:ext cx="896472" cy="59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B16F007-7206-49C6-A90D-EBE08E8FD0C1}" type="TxLink">
            <a:rPr lang="en-US" sz="4000" b="1" i="0" u="none" strike="noStrike">
              <a:solidFill>
                <a:schemeClr val="bg1"/>
              </a:solidFill>
              <a:latin typeface="Calibri"/>
              <a:ea typeface="Calibri"/>
              <a:cs typeface="Calibri"/>
            </a:rPr>
            <a:pPr marL="0" indent="0"/>
            <a:t>20</a:t>
          </a:fld>
          <a:endParaRPr lang="en-US" sz="4000" b="1" i="0" u="none" strike="noStrike">
            <a:solidFill>
              <a:schemeClr val="bg1"/>
            </a:solidFill>
            <a:latin typeface="Calibri"/>
            <a:ea typeface="Calibri"/>
            <a:cs typeface="Calibri"/>
          </a:endParaRPr>
        </a:p>
      </xdr:txBody>
    </xdr:sp>
    <xdr:clientData/>
  </xdr:twoCellAnchor>
  <xdr:twoCellAnchor>
    <xdr:from>
      <xdr:col>17</xdr:col>
      <xdr:colOff>100853</xdr:colOff>
      <xdr:row>37</xdr:row>
      <xdr:rowOff>119044</xdr:rowOff>
    </xdr:from>
    <xdr:to>
      <xdr:col>19</xdr:col>
      <xdr:colOff>321623</xdr:colOff>
      <xdr:row>43</xdr:row>
      <xdr:rowOff>74221</xdr:rowOff>
    </xdr:to>
    <xdr:sp macro="" textlink="">
      <xdr:nvSpPr>
        <xdr:cNvPr id="39" name="TextBox 38">
          <a:extLst>
            <a:ext uri="{FF2B5EF4-FFF2-40B4-BE49-F238E27FC236}">
              <a16:creationId xmlns:a16="http://schemas.microsoft.com/office/drawing/2014/main" id="{16B8355B-DD81-0884-78A8-AAA7902B8BD0}"/>
            </a:ext>
          </a:extLst>
        </xdr:cNvPr>
        <xdr:cNvSpPr txBox="1"/>
      </xdr:nvSpPr>
      <xdr:spPr>
        <a:xfrm>
          <a:off x="10405171" y="6984466"/>
          <a:ext cx="1433043" cy="1068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Employees</a:t>
          </a:r>
        </a:p>
        <a:p>
          <a:r>
            <a:rPr lang="en-US" sz="2000" b="0">
              <a:solidFill>
                <a:schemeClr val="bg1"/>
              </a:solidFill>
              <a:latin typeface="+mn-lt"/>
              <a:ea typeface="+mn-ea"/>
              <a:cs typeface="+mn-cs"/>
            </a:rPr>
            <a:t>with</a:t>
          </a:r>
        </a:p>
        <a:p>
          <a:r>
            <a:rPr lang="en-US" sz="2000" b="0">
              <a:solidFill>
                <a:schemeClr val="bg1"/>
              </a:solidFill>
              <a:latin typeface="+mn-lt"/>
              <a:ea typeface="+mn-ea"/>
              <a:cs typeface="+mn-cs"/>
            </a:rPr>
            <a:t>Contracts</a:t>
          </a:r>
        </a:p>
      </xdr:txBody>
    </xdr:sp>
    <xdr:clientData/>
  </xdr:twoCellAnchor>
  <xdr:twoCellAnchor>
    <xdr:from>
      <xdr:col>18</xdr:col>
      <xdr:colOff>369792</xdr:colOff>
      <xdr:row>41</xdr:row>
      <xdr:rowOff>179295</xdr:rowOff>
    </xdr:from>
    <xdr:to>
      <xdr:col>20</xdr:col>
      <xdr:colOff>56029</xdr:colOff>
      <xdr:row>45</xdr:row>
      <xdr:rowOff>11207</xdr:rowOff>
    </xdr:to>
    <xdr:sp macro="" textlink="'Pivot Table'!C9">
      <xdr:nvSpPr>
        <xdr:cNvPr id="40" name="TextBox 39">
          <a:extLst>
            <a:ext uri="{FF2B5EF4-FFF2-40B4-BE49-F238E27FC236}">
              <a16:creationId xmlns:a16="http://schemas.microsoft.com/office/drawing/2014/main" id="{B32D8564-17E5-AD24-2983-BAFE886E4DF5}"/>
            </a:ext>
          </a:extLst>
        </xdr:cNvPr>
        <xdr:cNvSpPr txBox="1"/>
      </xdr:nvSpPr>
      <xdr:spPr>
        <a:xfrm>
          <a:off x="11261910" y="7989795"/>
          <a:ext cx="896472" cy="593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EB5AED6-EFF7-49FB-B7B5-40407B783046}" type="TxLink">
            <a:rPr lang="en-US" sz="4000" b="1" i="0" u="none" strike="noStrike">
              <a:solidFill>
                <a:schemeClr val="bg1"/>
              </a:solidFill>
              <a:latin typeface="Calibri"/>
              <a:ea typeface="Calibri"/>
              <a:cs typeface="Calibri"/>
            </a:rPr>
            <a:pPr marL="0" indent="0"/>
            <a:t>17</a:t>
          </a:fld>
          <a:endParaRPr lang="en-US" sz="4000" b="1" i="0" u="none" strike="noStrike">
            <a:solidFill>
              <a:schemeClr val="bg1"/>
            </a:solidFill>
            <a:latin typeface="Calibri"/>
            <a:ea typeface="Calibri"/>
            <a:cs typeface="Calibri"/>
          </a:endParaRPr>
        </a:p>
      </xdr:txBody>
    </xdr:sp>
    <xdr:clientData/>
  </xdr:twoCellAnchor>
  <xdr:twoCellAnchor>
    <xdr:from>
      <xdr:col>11</xdr:col>
      <xdr:colOff>257735</xdr:colOff>
      <xdr:row>31</xdr:row>
      <xdr:rowOff>168088</xdr:rowOff>
    </xdr:from>
    <xdr:to>
      <xdr:col>14</xdr:col>
      <xdr:colOff>123265</xdr:colOff>
      <xdr:row>33</xdr:row>
      <xdr:rowOff>156882</xdr:rowOff>
    </xdr:to>
    <xdr:sp macro="" textlink="">
      <xdr:nvSpPr>
        <xdr:cNvPr id="42" name="TextBox 41">
          <a:extLst>
            <a:ext uri="{FF2B5EF4-FFF2-40B4-BE49-F238E27FC236}">
              <a16:creationId xmlns:a16="http://schemas.microsoft.com/office/drawing/2014/main" id="{3168374D-6275-204C-7525-FCDEA4CB16C4}"/>
            </a:ext>
          </a:extLst>
        </xdr:cNvPr>
        <xdr:cNvSpPr txBox="1"/>
      </xdr:nvSpPr>
      <xdr:spPr>
        <a:xfrm>
          <a:off x="6914029" y="6073588"/>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Total</a:t>
          </a:r>
          <a:r>
            <a:rPr lang="en-US" sz="2000" b="0" baseline="0">
              <a:solidFill>
                <a:schemeClr val="bg1"/>
              </a:solidFill>
            </a:rPr>
            <a:t> </a:t>
          </a:r>
          <a:r>
            <a:rPr lang="en-US" sz="2000" b="0">
              <a:solidFill>
                <a:schemeClr val="bg1"/>
              </a:solidFill>
              <a:latin typeface="+mn-lt"/>
              <a:ea typeface="+mn-ea"/>
              <a:cs typeface="+mn-cs"/>
            </a:rPr>
            <a:t>Salaries</a:t>
          </a:r>
        </a:p>
      </xdr:txBody>
    </xdr:sp>
    <xdr:clientData/>
  </xdr:twoCellAnchor>
  <xdr:twoCellAnchor>
    <xdr:from>
      <xdr:col>11</xdr:col>
      <xdr:colOff>257735</xdr:colOff>
      <xdr:row>33</xdr:row>
      <xdr:rowOff>134471</xdr:rowOff>
    </xdr:from>
    <xdr:to>
      <xdr:col>14</xdr:col>
      <xdr:colOff>123265</xdr:colOff>
      <xdr:row>35</xdr:row>
      <xdr:rowOff>123265</xdr:rowOff>
    </xdr:to>
    <xdr:sp macro="" textlink="">
      <xdr:nvSpPr>
        <xdr:cNvPr id="59" name="TextBox 58">
          <a:extLst>
            <a:ext uri="{FF2B5EF4-FFF2-40B4-BE49-F238E27FC236}">
              <a16:creationId xmlns:a16="http://schemas.microsoft.com/office/drawing/2014/main" id="{FA775EFC-63E8-38FD-41D1-7F3F542FE73F}"/>
            </a:ext>
          </a:extLst>
        </xdr:cNvPr>
        <xdr:cNvSpPr txBox="1"/>
      </xdr:nvSpPr>
      <xdr:spPr>
        <a:xfrm>
          <a:off x="6914029" y="6420971"/>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Managers</a:t>
          </a:r>
        </a:p>
      </xdr:txBody>
    </xdr:sp>
    <xdr:clientData/>
  </xdr:twoCellAnchor>
  <xdr:twoCellAnchor>
    <xdr:from>
      <xdr:col>11</xdr:col>
      <xdr:colOff>257735</xdr:colOff>
      <xdr:row>41</xdr:row>
      <xdr:rowOff>89647</xdr:rowOff>
    </xdr:from>
    <xdr:to>
      <xdr:col>14</xdr:col>
      <xdr:colOff>123265</xdr:colOff>
      <xdr:row>43</xdr:row>
      <xdr:rowOff>78441</xdr:rowOff>
    </xdr:to>
    <xdr:sp macro="" textlink="">
      <xdr:nvSpPr>
        <xdr:cNvPr id="60" name="TextBox 59">
          <a:extLst>
            <a:ext uri="{FF2B5EF4-FFF2-40B4-BE49-F238E27FC236}">
              <a16:creationId xmlns:a16="http://schemas.microsoft.com/office/drawing/2014/main" id="{6F0A097F-B161-A689-D8FA-2BA78BB85FDD}"/>
            </a:ext>
          </a:extLst>
        </xdr:cNvPr>
        <xdr:cNvSpPr txBox="1"/>
      </xdr:nvSpPr>
      <xdr:spPr>
        <a:xfrm>
          <a:off x="6914029" y="7900147"/>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Analysts</a:t>
          </a:r>
        </a:p>
      </xdr:txBody>
    </xdr:sp>
    <xdr:clientData/>
  </xdr:twoCellAnchor>
  <xdr:twoCellAnchor>
    <xdr:from>
      <xdr:col>11</xdr:col>
      <xdr:colOff>257735</xdr:colOff>
      <xdr:row>39</xdr:row>
      <xdr:rowOff>123265</xdr:rowOff>
    </xdr:from>
    <xdr:to>
      <xdr:col>14</xdr:col>
      <xdr:colOff>123265</xdr:colOff>
      <xdr:row>41</xdr:row>
      <xdr:rowOff>112059</xdr:rowOff>
    </xdr:to>
    <xdr:sp macro="" textlink="">
      <xdr:nvSpPr>
        <xdr:cNvPr id="61" name="TextBox 60">
          <a:extLst>
            <a:ext uri="{FF2B5EF4-FFF2-40B4-BE49-F238E27FC236}">
              <a16:creationId xmlns:a16="http://schemas.microsoft.com/office/drawing/2014/main" id="{41C61E96-D3B0-730A-BE26-6D9CBBF8BA25}"/>
            </a:ext>
          </a:extLst>
        </xdr:cNvPr>
        <xdr:cNvSpPr txBox="1"/>
      </xdr:nvSpPr>
      <xdr:spPr>
        <a:xfrm>
          <a:off x="6914029" y="7552765"/>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Designers</a:t>
          </a:r>
        </a:p>
      </xdr:txBody>
    </xdr:sp>
    <xdr:clientData/>
  </xdr:twoCellAnchor>
  <xdr:twoCellAnchor>
    <xdr:from>
      <xdr:col>11</xdr:col>
      <xdr:colOff>257735</xdr:colOff>
      <xdr:row>37</xdr:row>
      <xdr:rowOff>112059</xdr:rowOff>
    </xdr:from>
    <xdr:to>
      <xdr:col>14</xdr:col>
      <xdr:colOff>123265</xdr:colOff>
      <xdr:row>39</xdr:row>
      <xdr:rowOff>100853</xdr:rowOff>
    </xdr:to>
    <xdr:sp macro="" textlink="">
      <xdr:nvSpPr>
        <xdr:cNvPr id="62" name="TextBox 61">
          <a:extLst>
            <a:ext uri="{FF2B5EF4-FFF2-40B4-BE49-F238E27FC236}">
              <a16:creationId xmlns:a16="http://schemas.microsoft.com/office/drawing/2014/main" id="{E362E1BF-4284-540E-BCCE-5D4A575E8A3C}"/>
            </a:ext>
          </a:extLst>
        </xdr:cNvPr>
        <xdr:cNvSpPr txBox="1"/>
      </xdr:nvSpPr>
      <xdr:spPr>
        <a:xfrm>
          <a:off x="6914029" y="7160559"/>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Developers</a:t>
          </a:r>
        </a:p>
      </xdr:txBody>
    </xdr:sp>
    <xdr:clientData/>
  </xdr:twoCellAnchor>
  <xdr:twoCellAnchor>
    <xdr:from>
      <xdr:col>11</xdr:col>
      <xdr:colOff>257735</xdr:colOff>
      <xdr:row>35</xdr:row>
      <xdr:rowOff>134471</xdr:rowOff>
    </xdr:from>
    <xdr:to>
      <xdr:col>14</xdr:col>
      <xdr:colOff>246529</xdr:colOff>
      <xdr:row>38</xdr:row>
      <xdr:rowOff>78441</xdr:rowOff>
    </xdr:to>
    <xdr:sp macro="" textlink="">
      <xdr:nvSpPr>
        <xdr:cNvPr id="63" name="TextBox 62">
          <a:extLst>
            <a:ext uri="{FF2B5EF4-FFF2-40B4-BE49-F238E27FC236}">
              <a16:creationId xmlns:a16="http://schemas.microsoft.com/office/drawing/2014/main" id="{BE99B5A0-74A7-B864-4A88-1B2B51A50D65}"/>
            </a:ext>
          </a:extLst>
        </xdr:cNvPr>
        <xdr:cNvSpPr txBox="1"/>
      </xdr:nvSpPr>
      <xdr:spPr>
        <a:xfrm>
          <a:off x="6914029" y="6801971"/>
          <a:ext cx="1804147" cy="51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HR</a:t>
          </a:r>
          <a:r>
            <a:rPr lang="en-US" sz="1800" b="1" baseline="0">
              <a:solidFill>
                <a:schemeClr val="dk1"/>
              </a:solidFill>
              <a:latin typeface="+mn-lt"/>
              <a:ea typeface="+mn-ea"/>
              <a:cs typeface="+mn-cs"/>
            </a:rPr>
            <a:t> </a:t>
          </a:r>
          <a:r>
            <a:rPr lang="en-US" sz="2000" b="0">
              <a:solidFill>
                <a:schemeClr val="bg1"/>
              </a:solidFill>
              <a:latin typeface="+mn-lt"/>
              <a:ea typeface="+mn-ea"/>
              <a:cs typeface="+mn-cs"/>
            </a:rPr>
            <a:t>Spechialists</a:t>
          </a:r>
        </a:p>
      </xdr:txBody>
    </xdr:sp>
    <xdr:clientData/>
  </xdr:twoCellAnchor>
  <xdr:twoCellAnchor>
    <xdr:from>
      <xdr:col>17</xdr:col>
      <xdr:colOff>33615</xdr:colOff>
      <xdr:row>24</xdr:row>
      <xdr:rowOff>145679</xdr:rowOff>
    </xdr:from>
    <xdr:to>
      <xdr:col>23</xdr:col>
      <xdr:colOff>582706</xdr:colOff>
      <xdr:row>28</xdr:row>
      <xdr:rowOff>11206</xdr:rowOff>
    </xdr:to>
    <xdr:sp macro="" textlink="">
      <xdr:nvSpPr>
        <xdr:cNvPr id="107" name="TextBox 106">
          <a:extLst>
            <a:ext uri="{FF2B5EF4-FFF2-40B4-BE49-F238E27FC236}">
              <a16:creationId xmlns:a16="http://schemas.microsoft.com/office/drawing/2014/main" id="{43E70E46-3256-0CAC-CB16-E9A5C542C70B}"/>
            </a:ext>
          </a:extLst>
        </xdr:cNvPr>
        <xdr:cNvSpPr txBox="1"/>
      </xdr:nvSpPr>
      <xdr:spPr>
        <a:xfrm>
          <a:off x="10320615" y="4717679"/>
          <a:ext cx="4179797" cy="627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solidFill>
                <a:srgbClr val="FFC107"/>
              </a:solidFill>
            </a:rPr>
            <a:t> </a:t>
          </a:r>
          <a:r>
            <a:rPr lang="en-US" sz="2000" b="1">
              <a:solidFill>
                <a:srgbClr val="FFC107"/>
              </a:solidFill>
              <a:latin typeface="+mn-lt"/>
              <a:ea typeface="+mn-ea"/>
              <a:cs typeface="+mn-cs"/>
            </a:rPr>
            <a:t>Employments Status</a:t>
          </a:r>
          <a:r>
            <a:rPr lang="en-US" sz="2000" b="1" baseline="0">
              <a:solidFill>
                <a:srgbClr val="FFC107"/>
              </a:solidFill>
              <a:latin typeface="+mn-lt"/>
              <a:ea typeface="+mn-ea"/>
              <a:cs typeface="+mn-cs"/>
            </a:rPr>
            <a:t> BreakDown</a:t>
          </a:r>
          <a:endParaRPr lang="en-US" sz="2000" b="1">
            <a:solidFill>
              <a:srgbClr val="FFC107"/>
            </a:solidFill>
            <a:latin typeface="+mn-lt"/>
            <a:ea typeface="+mn-ea"/>
            <a:cs typeface="+mn-cs"/>
          </a:endParaRPr>
        </a:p>
      </xdr:txBody>
    </xdr:sp>
    <xdr:clientData/>
  </xdr:twoCellAnchor>
  <xdr:twoCellAnchor>
    <xdr:from>
      <xdr:col>11</xdr:col>
      <xdr:colOff>571499</xdr:colOff>
      <xdr:row>9</xdr:row>
      <xdr:rowOff>156885</xdr:rowOff>
    </xdr:from>
    <xdr:to>
      <xdr:col>16</xdr:col>
      <xdr:colOff>537883</xdr:colOff>
      <xdr:row>12</xdr:row>
      <xdr:rowOff>11207</xdr:rowOff>
    </xdr:to>
    <xdr:sp macro="" textlink="">
      <xdr:nvSpPr>
        <xdr:cNvPr id="108" name="TextBox 107">
          <a:extLst>
            <a:ext uri="{FF2B5EF4-FFF2-40B4-BE49-F238E27FC236}">
              <a16:creationId xmlns:a16="http://schemas.microsoft.com/office/drawing/2014/main" id="{6F7F4D52-D519-9D64-4465-F008A04CB979}"/>
            </a:ext>
          </a:extLst>
        </xdr:cNvPr>
        <xdr:cNvSpPr txBox="1"/>
      </xdr:nvSpPr>
      <xdr:spPr>
        <a:xfrm>
          <a:off x="7227793" y="1871385"/>
          <a:ext cx="2991972" cy="425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lumMod val="75000"/>
                </a:schemeClr>
              </a:solidFill>
            </a:rPr>
            <a:t>Leave taken by job title</a:t>
          </a:r>
          <a:endParaRPr lang="en-US" sz="1600" b="1">
            <a:solidFill>
              <a:schemeClr val="bg1">
                <a:lumMod val="75000"/>
              </a:schemeClr>
            </a:solidFill>
            <a:latin typeface="+mn-lt"/>
            <a:ea typeface="+mn-ea"/>
            <a:cs typeface="+mn-cs"/>
          </a:endParaRPr>
        </a:p>
      </xdr:txBody>
    </xdr:sp>
    <xdr:clientData/>
  </xdr:twoCellAnchor>
  <xdr:twoCellAnchor>
    <xdr:from>
      <xdr:col>5</xdr:col>
      <xdr:colOff>257734</xdr:colOff>
      <xdr:row>29</xdr:row>
      <xdr:rowOff>78442</xdr:rowOff>
    </xdr:from>
    <xdr:to>
      <xdr:col>10</xdr:col>
      <xdr:colOff>414617</xdr:colOff>
      <xdr:row>33</xdr:row>
      <xdr:rowOff>56030</xdr:rowOff>
    </xdr:to>
    <xdr:sp macro="" textlink="">
      <xdr:nvSpPr>
        <xdr:cNvPr id="35" name="TextBox 34">
          <a:extLst>
            <a:ext uri="{FF2B5EF4-FFF2-40B4-BE49-F238E27FC236}">
              <a16:creationId xmlns:a16="http://schemas.microsoft.com/office/drawing/2014/main" id="{9B160342-9981-E484-FBC5-21771C1B7B9D}"/>
            </a:ext>
          </a:extLst>
        </xdr:cNvPr>
        <xdr:cNvSpPr txBox="1"/>
      </xdr:nvSpPr>
      <xdr:spPr>
        <a:xfrm>
          <a:off x="3283322" y="5602942"/>
          <a:ext cx="3182471" cy="73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lumMod val="75000"/>
                </a:schemeClr>
              </a:solidFill>
              <a:latin typeface="+mn-lt"/>
              <a:ea typeface="+mn-ea"/>
              <a:cs typeface="+mn-cs"/>
            </a:rPr>
            <a:t>No</a:t>
          </a:r>
          <a:r>
            <a:rPr lang="en-US" sz="1600" b="0" baseline="0">
              <a:solidFill>
                <a:schemeClr val="dk1"/>
              </a:solidFill>
              <a:effectLst/>
              <a:latin typeface="+mn-lt"/>
              <a:ea typeface="+mn-ea"/>
              <a:cs typeface="+mn-cs"/>
            </a:rPr>
            <a:t> </a:t>
          </a:r>
          <a:r>
            <a:rPr lang="en-US" sz="1600" baseline="0">
              <a:solidFill>
                <a:schemeClr val="bg1">
                  <a:lumMod val="75000"/>
                </a:schemeClr>
              </a:solidFill>
              <a:latin typeface="+mn-lt"/>
              <a:ea typeface="+mn-ea"/>
              <a:cs typeface="+mn-cs"/>
            </a:rPr>
            <a:t>of</a:t>
          </a:r>
          <a:r>
            <a:rPr lang="en-US" sz="1600" b="0" baseline="0">
              <a:solidFill>
                <a:schemeClr val="dk1"/>
              </a:solidFill>
              <a:effectLst/>
              <a:latin typeface="+mn-lt"/>
              <a:ea typeface="+mn-ea"/>
              <a:cs typeface="+mn-cs"/>
            </a:rPr>
            <a:t> </a:t>
          </a:r>
          <a:r>
            <a:rPr lang="en-US" sz="1600" baseline="0">
              <a:solidFill>
                <a:schemeClr val="bg1">
                  <a:lumMod val="75000"/>
                </a:schemeClr>
              </a:solidFill>
              <a:latin typeface="+mn-lt"/>
              <a:ea typeface="+mn-ea"/>
              <a:cs typeface="+mn-cs"/>
            </a:rPr>
            <a:t>Employees</a:t>
          </a:r>
          <a:r>
            <a:rPr lang="en-US" sz="1600" b="0" baseline="0">
              <a:solidFill>
                <a:schemeClr val="dk1"/>
              </a:solidFill>
              <a:effectLst/>
              <a:latin typeface="+mn-lt"/>
              <a:ea typeface="+mn-ea"/>
              <a:cs typeface="+mn-cs"/>
            </a:rPr>
            <a:t> </a:t>
          </a:r>
          <a:r>
            <a:rPr lang="en-US" sz="1600" baseline="0">
              <a:solidFill>
                <a:schemeClr val="bg1">
                  <a:lumMod val="75000"/>
                </a:schemeClr>
              </a:solidFill>
              <a:latin typeface="+mn-lt"/>
              <a:ea typeface="+mn-ea"/>
              <a:cs typeface="+mn-cs"/>
            </a:rPr>
            <a:t>For</a:t>
          </a:r>
          <a:r>
            <a:rPr lang="en-US" sz="1600" b="0" baseline="0">
              <a:solidFill>
                <a:schemeClr val="dk1"/>
              </a:solidFill>
              <a:effectLst/>
              <a:latin typeface="+mn-lt"/>
              <a:ea typeface="+mn-ea"/>
              <a:cs typeface="+mn-cs"/>
            </a:rPr>
            <a:t> </a:t>
          </a:r>
          <a:r>
            <a:rPr lang="en-US" sz="1600" baseline="0">
              <a:solidFill>
                <a:schemeClr val="bg1">
                  <a:lumMod val="75000"/>
                </a:schemeClr>
              </a:solidFill>
              <a:latin typeface="+mn-lt"/>
              <a:ea typeface="+mn-ea"/>
              <a:cs typeface="+mn-cs"/>
            </a:rPr>
            <a:t>Age</a:t>
          </a:r>
          <a:r>
            <a:rPr lang="en-US" sz="1600" b="0" baseline="0">
              <a:solidFill>
                <a:schemeClr val="dk1"/>
              </a:solidFill>
              <a:effectLst/>
              <a:latin typeface="+mn-lt"/>
              <a:ea typeface="+mn-ea"/>
              <a:cs typeface="+mn-cs"/>
            </a:rPr>
            <a:t> </a:t>
          </a:r>
          <a:r>
            <a:rPr lang="en-US" sz="1600" baseline="0">
              <a:solidFill>
                <a:schemeClr val="bg1">
                  <a:lumMod val="75000"/>
                </a:schemeClr>
              </a:solidFill>
              <a:latin typeface="+mn-lt"/>
              <a:ea typeface="+mn-ea"/>
              <a:cs typeface="+mn-cs"/>
            </a:rPr>
            <a:t>Range</a:t>
          </a:r>
          <a:r>
            <a:rPr lang="en-US" sz="1600" b="0" baseline="0">
              <a:solidFill>
                <a:schemeClr val="dk1"/>
              </a:solidFill>
              <a:effectLst/>
              <a:latin typeface="+mn-lt"/>
              <a:ea typeface="+mn-ea"/>
              <a:cs typeface="+mn-cs"/>
            </a:rPr>
            <a:t> </a:t>
          </a:r>
          <a:r>
            <a:rPr lang="en-US" sz="1600" baseline="0">
              <a:solidFill>
                <a:schemeClr val="bg1">
                  <a:lumMod val="75000"/>
                </a:schemeClr>
              </a:solidFill>
              <a:latin typeface="+mn-lt"/>
              <a:ea typeface="+mn-ea"/>
              <a:cs typeface="+mn-cs"/>
            </a:rPr>
            <a:t>and</a:t>
          </a:r>
          <a:r>
            <a:rPr lang="en-US" sz="1600" b="0" baseline="0">
              <a:solidFill>
                <a:schemeClr val="dk1"/>
              </a:solidFill>
              <a:effectLst/>
              <a:latin typeface="+mn-lt"/>
              <a:ea typeface="+mn-ea"/>
              <a:cs typeface="+mn-cs"/>
            </a:rPr>
            <a:t> </a:t>
          </a:r>
          <a:r>
            <a:rPr lang="en-US" sz="1600" baseline="0">
              <a:solidFill>
                <a:schemeClr val="bg1">
                  <a:lumMod val="75000"/>
                </a:schemeClr>
              </a:solidFill>
              <a:latin typeface="+mn-lt"/>
              <a:ea typeface="+mn-ea"/>
              <a:cs typeface="+mn-cs"/>
            </a:rPr>
            <a:t>Gender</a:t>
          </a:r>
        </a:p>
      </xdr:txBody>
    </xdr:sp>
    <xdr:clientData/>
  </xdr:twoCellAnchor>
  <xdr:twoCellAnchor>
    <xdr:from>
      <xdr:col>14</xdr:col>
      <xdr:colOff>123264</xdr:colOff>
      <xdr:row>41</xdr:row>
      <xdr:rowOff>168089</xdr:rowOff>
    </xdr:from>
    <xdr:to>
      <xdr:col>16</xdr:col>
      <xdr:colOff>235323</xdr:colOff>
      <xdr:row>43</xdr:row>
      <xdr:rowOff>123264</xdr:rowOff>
    </xdr:to>
    <xdr:sp macro="" textlink="">
      <xdr:nvSpPr>
        <xdr:cNvPr id="97" name="Rectangle: Rounded Corners 96">
          <a:extLst>
            <a:ext uri="{FF2B5EF4-FFF2-40B4-BE49-F238E27FC236}">
              <a16:creationId xmlns:a16="http://schemas.microsoft.com/office/drawing/2014/main" id="{90A65C8D-C50A-0C9E-0F2F-D03C6F8AE774}"/>
            </a:ext>
          </a:extLst>
        </xdr:cNvPr>
        <xdr:cNvSpPr/>
      </xdr:nvSpPr>
      <xdr:spPr>
        <a:xfrm>
          <a:off x="8594911" y="7978589"/>
          <a:ext cx="1322294" cy="336175"/>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123264</xdr:colOff>
      <xdr:row>39</xdr:row>
      <xdr:rowOff>156882</xdr:rowOff>
    </xdr:from>
    <xdr:to>
      <xdr:col>16</xdr:col>
      <xdr:colOff>235323</xdr:colOff>
      <xdr:row>41</xdr:row>
      <xdr:rowOff>109816</xdr:rowOff>
    </xdr:to>
    <xdr:sp macro="" textlink="">
      <xdr:nvSpPr>
        <xdr:cNvPr id="102" name="Rectangle: Rounded Corners 101">
          <a:extLst>
            <a:ext uri="{FF2B5EF4-FFF2-40B4-BE49-F238E27FC236}">
              <a16:creationId xmlns:a16="http://schemas.microsoft.com/office/drawing/2014/main" id="{E3C709E6-7BEC-8A9B-A17E-1C3E56BB0AFC}"/>
            </a:ext>
          </a:extLst>
        </xdr:cNvPr>
        <xdr:cNvSpPr/>
      </xdr:nvSpPr>
      <xdr:spPr>
        <a:xfrm>
          <a:off x="8594911" y="7586382"/>
          <a:ext cx="1322294" cy="333934"/>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134470</xdr:colOff>
      <xdr:row>37</xdr:row>
      <xdr:rowOff>179294</xdr:rowOff>
    </xdr:from>
    <xdr:to>
      <xdr:col>16</xdr:col>
      <xdr:colOff>246529</xdr:colOff>
      <xdr:row>39</xdr:row>
      <xdr:rowOff>107575</xdr:rowOff>
    </xdr:to>
    <xdr:sp macro="" textlink="">
      <xdr:nvSpPr>
        <xdr:cNvPr id="103" name="Rectangle: Rounded Corners 102">
          <a:extLst>
            <a:ext uri="{FF2B5EF4-FFF2-40B4-BE49-F238E27FC236}">
              <a16:creationId xmlns:a16="http://schemas.microsoft.com/office/drawing/2014/main" id="{D0E0EA6B-36D7-ED4C-004F-82E64EC502EC}"/>
            </a:ext>
          </a:extLst>
        </xdr:cNvPr>
        <xdr:cNvSpPr/>
      </xdr:nvSpPr>
      <xdr:spPr>
        <a:xfrm>
          <a:off x="8606117" y="7227794"/>
          <a:ext cx="1322294" cy="30928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123264</xdr:colOff>
      <xdr:row>36</xdr:row>
      <xdr:rowOff>44824</xdr:rowOff>
    </xdr:from>
    <xdr:to>
      <xdr:col>16</xdr:col>
      <xdr:colOff>235323</xdr:colOff>
      <xdr:row>37</xdr:row>
      <xdr:rowOff>138952</xdr:rowOff>
    </xdr:to>
    <xdr:sp macro="" textlink="">
      <xdr:nvSpPr>
        <xdr:cNvPr id="104" name="Rectangle: Rounded Corners 103">
          <a:extLst>
            <a:ext uri="{FF2B5EF4-FFF2-40B4-BE49-F238E27FC236}">
              <a16:creationId xmlns:a16="http://schemas.microsoft.com/office/drawing/2014/main" id="{544368A6-0C31-846E-593E-479FF74A6309}"/>
            </a:ext>
          </a:extLst>
        </xdr:cNvPr>
        <xdr:cNvSpPr/>
      </xdr:nvSpPr>
      <xdr:spPr>
        <a:xfrm>
          <a:off x="8594911" y="6902824"/>
          <a:ext cx="1322294" cy="284628"/>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123264</xdr:colOff>
      <xdr:row>34</xdr:row>
      <xdr:rowOff>67235</xdr:rowOff>
    </xdr:from>
    <xdr:to>
      <xdr:col>16</xdr:col>
      <xdr:colOff>235323</xdr:colOff>
      <xdr:row>35</xdr:row>
      <xdr:rowOff>181535</xdr:rowOff>
    </xdr:to>
    <xdr:sp macro="" textlink="">
      <xdr:nvSpPr>
        <xdr:cNvPr id="105" name="Rectangle: Rounded Corners 104">
          <a:extLst>
            <a:ext uri="{FF2B5EF4-FFF2-40B4-BE49-F238E27FC236}">
              <a16:creationId xmlns:a16="http://schemas.microsoft.com/office/drawing/2014/main" id="{AE846E50-DB6E-1607-E287-6AFF7D8D82BE}"/>
            </a:ext>
          </a:extLst>
        </xdr:cNvPr>
        <xdr:cNvSpPr/>
      </xdr:nvSpPr>
      <xdr:spPr>
        <a:xfrm>
          <a:off x="8594911" y="6544235"/>
          <a:ext cx="1322294" cy="30480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123264</xdr:colOff>
      <xdr:row>32</xdr:row>
      <xdr:rowOff>67235</xdr:rowOff>
    </xdr:from>
    <xdr:to>
      <xdr:col>16</xdr:col>
      <xdr:colOff>235323</xdr:colOff>
      <xdr:row>34</xdr:row>
      <xdr:rowOff>11205</xdr:rowOff>
    </xdr:to>
    <xdr:sp macro="" textlink="">
      <xdr:nvSpPr>
        <xdr:cNvPr id="106" name="Rectangle: Rounded Corners 105">
          <a:extLst>
            <a:ext uri="{FF2B5EF4-FFF2-40B4-BE49-F238E27FC236}">
              <a16:creationId xmlns:a16="http://schemas.microsoft.com/office/drawing/2014/main" id="{DFD743A7-9567-1BBC-525E-4F3DE9D1C07A}"/>
            </a:ext>
          </a:extLst>
        </xdr:cNvPr>
        <xdr:cNvSpPr/>
      </xdr:nvSpPr>
      <xdr:spPr>
        <a:xfrm>
          <a:off x="8594911" y="6163235"/>
          <a:ext cx="1322294" cy="324970"/>
        </a:xfrm>
        <a:prstGeom prst="roundRect">
          <a:avLst/>
        </a:prstGeom>
        <a:solidFill>
          <a:srgbClr val="FFC10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246528</xdr:colOff>
      <xdr:row>32</xdr:row>
      <xdr:rowOff>44825</xdr:rowOff>
    </xdr:from>
    <xdr:to>
      <xdr:col>16</xdr:col>
      <xdr:colOff>112058</xdr:colOff>
      <xdr:row>34</xdr:row>
      <xdr:rowOff>33619</xdr:rowOff>
    </xdr:to>
    <xdr:sp macro="" textlink="'Pivot Table'!F16">
      <xdr:nvSpPr>
        <xdr:cNvPr id="66" name="TextBox 65">
          <a:extLst>
            <a:ext uri="{FF2B5EF4-FFF2-40B4-BE49-F238E27FC236}">
              <a16:creationId xmlns:a16="http://schemas.microsoft.com/office/drawing/2014/main" id="{61650D1F-7591-CAD2-F058-7FD10A3FE8F5}"/>
            </a:ext>
          </a:extLst>
        </xdr:cNvPr>
        <xdr:cNvSpPr txBox="1"/>
      </xdr:nvSpPr>
      <xdr:spPr>
        <a:xfrm>
          <a:off x="8113057" y="6140825"/>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03F336-6CDE-4127-847B-30C41BBB846D}" type="TxLink">
            <a:rPr lang="en-US" sz="1800" b="1" i="0" u="none" strike="noStrike">
              <a:solidFill>
                <a:schemeClr val="tx1"/>
              </a:solidFill>
              <a:latin typeface="Calibri"/>
              <a:ea typeface="Calibri"/>
              <a:cs typeface="Calibri"/>
            </a:rPr>
            <a:pPr marL="0" indent="0" algn="r"/>
            <a:t> 3,104,913 </a:t>
          </a:fld>
          <a:endParaRPr lang="en-US" sz="1800" b="1" i="0" u="none" strike="noStrike">
            <a:solidFill>
              <a:schemeClr val="tx1"/>
            </a:solidFill>
            <a:latin typeface="Calibri"/>
            <a:ea typeface="Calibri"/>
            <a:cs typeface="Calibri"/>
          </a:endParaRPr>
        </a:p>
      </xdr:txBody>
    </xdr:sp>
    <xdr:clientData/>
  </xdr:twoCellAnchor>
  <xdr:twoCellAnchor>
    <xdr:from>
      <xdr:col>13</xdr:col>
      <xdr:colOff>201704</xdr:colOff>
      <xdr:row>34</xdr:row>
      <xdr:rowOff>3</xdr:rowOff>
    </xdr:from>
    <xdr:to>
      <xdr:col>16</xdr:col>
      <xdr:colOff>67234</xdr:colOff>
      <xdr:row>35</xdr:row>
      <xdr:rowOff>179297</xdr:rowOff>
    </xdr:to>
    <xdr:sp macro="" textlink="'Pivot Table'!F15">
      <xdr:nvSpPr>
        <xdr:cNvPr id="67" name="TextBox 66">
          <a:extLst>
            <a:ext uri="{FF2B5EF4-FFF2-40B4-BE49-F238E27FC236}">
              <a16:creationId xmlns:a16="http://schemas.microsoft.com/office/drawing/2014/main" id="{18D66F8E-0ADC-6455-ECFC-001D1CA527E0}"/>
            </a:ext>
          </a:extLst>
        </xdr:cNvPr>
        <xdr:cNvSpPr txBox="1"/>
      </xdr:nvSpPr>
      <xdr:spPr>
        <a:xfrm>
          <a:off x="8068233" y="6477003"/>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F536F2-68F3-4227-B421-64E0A86EC193}" type="TxLink">
            <a:rPr lang="en-US" sz="1800" b="1" i="0" u="none" strike="noStrike">
              <a:solidFill>
                <a:schemeClr val="tx1"/>
              </a:solidFill>
              <a:latin typeface="Calibri"/>
              <a:ea typeface="Calibri"/>
              <a:cs typeface="Calibri"/>
            </a:rPr>
            <a:pPr marL="0" indent="0" algn="r"/>
            <a:t> 731,170 </a:t>
          </a:fld>
          <a:endParaRPr lang="en-US" sz="1800" b="1" i="0" u="none" strike="noStrike">
            <a:solidFill>
              <a:schemeClr val="tx1"/>
            </a:solidFill>
            <a:latin typeface="Calibri"/>
            <a:ea typeface="Calibri"/>
            <a:cs typeface="Calibri"/>
          </a:endParaRPr>
        </a:p>
      </xdr:txBody>
    </xdr:sp>
    <xdr:clientData/>
  </xdr:twoCellAnchor>
  <xdr:twoCellAnchor>
    <xdr:from>
      <xdr:col>13</xdr:col>
      <xdr:colOff>168086</xdr:colOff>
      <xdr:row>41</xdr:row>
      <xdr:rowOff>134473</xdr:rowOff>
    </xdr:from>
    <xdr:to>
      <xdr:col>16</xdr:col>
      <xdr:colOff>33616</xdr:colOff>
      <xdr:row>43</xdr:row>
      <xdr:rowOff>123267</xdr:rowOff>
    </xdr:to>
    <xdr:sp macro="" textlink="'Pivot Table'!F11">
      <xdr:nvSpPr>
        <xdr:cNvPr id="68" name="TextBox 67">
          <a:extLst>
            <a:ext uri="{FF2B5EF4-FFF2-40B4-BE49-F238E27FC236}">
              <a16:creationId xmlns:a16="http://schemas.microsoft.com/office/drawing/2014/main" id="{CADD2B4D-9827-8652-6E49-4BE17C79CCD5}"/>
            </a:ext>
          </a:extLst>
        </xdr:cNvPr>
        <xdr:cNvSpPr txBox="1"/>
      </xdr:nvSpPr>
      <xdr:spPr>
        <a:xfrm>
          <a:off x="8034615" y="7944973"/>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EBAD0DB-B9E9-44F4-AE87-1356038EC94D}" type="TxLink">
            <a:rPr lang="en-US" sz="1800" b="1" i="0" u="none" strike="noStrike">
              <a:solidFill>
                <a:schemeClr val="tx1"/>
              </a:solidFill>
              <a:latin typeface="Calibri"/>
              <a:ea typeface="Calibri"/>
              <a:cs typeface="Calibri"/>
            </a:rPr>
            <a:pPr algn="r"/>
            <a:t> 167,041 </a:t>
          </a:fld>
          <a:endParaRPr lang="en-US" sz="3200" b="1">
            <a:solidFill>
              <a:schemeClr val="tx1"/>
            </a:solidFill>
            <a:latin typeface="+mn-lt"/>
            <a:ea typeface="+mn-ea"/>
            <a:cs typeface="+mn-cs"/>
          </a:endParaRPr>
        </a:p>
      </xdr:txBody>
    </xdr:sp>
    <xdr:clientData/>
  </xdr:twoCellAnchor>
  <xdr:twoCellAnchor>
    <xdr:from>
      <xdr:col>13</xdr:col>
      <xdr:colOff>212909</xdr:colOff>
      <xdr:row>39</xdr:row>
      <xdr:rowOff>123267</xdr:rowOff>
    </xdr:from>
    <xdr:to>
      <xdr:col>16</xdr:col>
      <xdr:colOff>78439</xdr:colOff>
      <xdr:row>41</xdr:row>
      <xdr:rowOff>112061</xdr:rowOff>
    </xdr:to>
    <xdr:sp macro="" textlink="'Pivot Table'!F12">
      <xdr:nvSpPr>
        <xdr:cNvPr id="69" name="TextBox 68">
          <a:extLst>
            <a:ext uri="{FF2B5EF4-FFF2-40B4-BE49-F238E27FC236}">
              <a16:creationId xmlns:a16="http://schemas.microsoft.com/office/drawing/2014/main" id="{C9EBD554-5CF7-E3B9-8659-C40D218D7E47}"/>
            </a:ext>
          </a:extLst>
        </xdr:cNvPr>
        <xdr:cNvSpPr txBox="1"/>
      </xdr:nvSpPr>
      <xdr:spPr>
        <a:xfrm>
          <a:off x="8079438" y="7552767"/>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4A2088D-A330-4491-9B6E-FFA7EF21C26D}" type="TxLink">
            <a:rPr lang="en-US" sz="1800" b="1" i="0" u="none" strike="noStrike">
              <a:solidFill>
                <a:schemeClr val="tx1"/>
              </a:solidFill>
              <a:latin typeface="Calibri"/>
              <a:ea typeface="Calibri"/>
              <a:cs typeface="Calibri"/>
            </a:rPr>
            <a:pPr marL="0" indent="0" algn="r"/>
            <a:t> 613,842 </a:t>
          </a:fld>
          <a:endParaRPr lang="en-US" sz="1800" b="1" i="0" u="none" strike="noStrike">
            <a:solidFill>
              <a:schemeClr val="tx1"/>
            </a:solidFill>
            <a:latin typeface="Calibri"/>
            <a:ea typeface="Calibri"/>
            <a:cs typeface="Calibri"/>
          </a:endParaRPr>
        </a:p>
      </xdr:txBody>
    </xdr:sp>
    <xdr:clientData/>
  </xdr:twoCellAnchor>
  <xdr:twoCellAnchor>
    <xdr:from>
      <xdr:col>13</xdr:col>
      <xdr:colOff>201704</xdr:colOff>
      <xdr:row>37</xdr:row>
      <xdr:rowOff>134472</xdr:rowOff>
    </xdr:from>
    <xdr:to>
      <xdr:col>16</xdr:col>
      <xdr:colOff>67234</xdr:colOff>
      <xdr:row>39</xdr:row>
      <xdr:rowOff>123266</xdr:rowOff>
    </xdr:to>
    <xdr:sp macro="" textlink="'Pivot Table'!F13">
      <xdr:nvSpPr>
        <xdr:cNvPr id="70" name="TextBox 69">
          <a:extLst>
            <a:ext uri="{FF2B5EF4-FFF2-40B4-BE49-F238E27FC236}">
              <a16:creationId xmlns:a16="http://schemas.microsoft.com/office/drawing/2014/main" id="{15924C3D-0DB3-B60C-28D9-9F41702E4BCD}"/>
            </a:ext>
          </a:extLst>
        </xdr:cNvPr>
        <xdr:cNvSpPr txBox="1"/>
      </xdr:nvSpPr>
      <xdr:spPr>
        <a:xfrm>
          <a:off x="8068233" y="7182972"/>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95D0800-F4B5-4187-A988-DCA948C4F5B7}" type="TxLink">
            <a:rPr lang="en-US" sz="1800" b="1" i="0" u="none" strike="noStrike">
              <a:solidFill>
                <a:schemeClr val="tx1"/>
              </a:solidFill>
              <a:latin typeface="Calibri"/>
              <a:ea typeface="Calibri"/>
              <a:cs typeface="Calibri"/>
            </a:rPr>
            <a:pPr marL="0" indent="0" algn="r"/>
            <a:t> 633,594 </a:t>
          </a:fld>
          <a:endParaRPr lang="en-US" sz="1800" b="1" i="0" u="none" strike="noStrike">
            <a:solidFill>
              <a:schemeClr val="tx1"/>
            </a:solidFill>
            <a:latin typeface="Calibri"/>
            <a:ea typeface="Calibri"/>
            <a:cs typeface="Calibri"/>
          </a:endParaRPr>
        </a:p>
      </xdr:txBody>
    </xdr:sp>
    <xdr:clientData/>
  </xdr:twoCellAnchor>
  <xdr:twoCellAnchor>
    <xdr:from>
      <xdr:col>13</xdr:col>
      <xdr:colOff>190498</xdr:colOff>
      <xdr:row>36</xdr:row>
      <xdr:rowOff>2</xdr:rowOff>
    </xdr:from>
    <xdr:to>
      <xdr:col>16</xdr:col>
      <xdr:colOff>56028</xdr:colOff>
      <xdr:row>37</xdr:row>
      <xdr:rowOff>179296</xdr:rowOff>
    </xdr:to>
    <xdr:sp macro="" textlink="'Pivot Table'!F14">
      <xdr:nvSpPr>
        <xdr:cNvPr id="71" name="TextBox 70">
          <a:extLst>
            <a:ext uri="{FF2B5EF4-FFF2-40B4-BE49-F238E27FC236}">
              <a16:creationId xmlns:a16="http://schemas.microsoft.com/office/drawing/2014/main" id="{4762F297-E335-0649-6E28-5C354EB3D3FB}"/>
            </a:ext>
          </a:extLst>
        </xdr:cNvPr>
        <xdr:cNvSpPr txBox="1"/>
      </xdr:nvSpPr>
      <xdr:spPr>
        <a:xfrm>
          <a:off x="8057027" y="6858002"/>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33D5BBF-9FA4-4FD7-94EC-A65B477F7E3F}" type="TxLink">
            <a:rPr lang="en-US" sz="1800" b="1" i="0" u="none" strike="noStrike">
              <a:solidFill>
                <a:schemeClr val="tx1"/>
              </a:solidFill>
              <a:latin typeface="Calibri"/>
              <a:ea typeface="Calibri"/>
              <a:cs typeface="Calibri"/>
            </a:rPr>
            <a:pPr marL="0" indent="0" algn="r"/>
            <a:t> 959,266 </a:t>
          </a:fld>
          <a:endParaRPr lang="en-US" sz="1800" b="1" i="0" u="none" strike="noStrike">
            <a:solidFill>
              <a:schemeClr val="tx1"/>
            </a:solidFill>
            <a:latin typeface="Calibri"/>
            <a:ea typeface="Calibri"/>
            <a:cs typeface="Calibri"/>
          </a:endParaRPr>
        </a:p>
      </xdr:txBody>
    </xdr:sp>
    <xdr:clientData/>
  </xdr:twoCellAnchor>
  <xdr:twoCellAnchor>
    <xdr:from>
      <xdr:col>17</xdr:col>
      <xdr:colOff>44824</xdr:colOff>
      <xdr:row>27</xdr:row>
      <xdr:rowOff>44824</xdr:rowOff>
    </xdr:from>
    <xdr:to>
      <xdr:col>19</xdr:col>
      <xdr:colOff>515471</xdr:colOff>
      <xdr:row>35</xdr:row>
      <xdr:rowOff>89648</xdr:rowOff>
    </xdr:to>
    <xdr:graphicFrame macro="">
      <xdr:nvGraphicFramePr>
        <xdr:cNvPr id="125" name="Chart 124">
          <a:extLst>
            <a:ext uri="{FF2B5EF4-FFF2-40B4-BE49-F238E27FC236}">
              <a16:creationId xmlns:a16="http://schemas.microsoft.com/office/drawing/2014/main" id="{E732F6DA-AF35-4856-8D57-56BCBC902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134470</xdr:colOff>
      <xdr:row>17</xdr:row>
      <xdr:rowOff>156881</xdr:rowOff>
    </xdr:from>
    <xdr:to>
      <xdr:col>7</xdr:col>
      <xdr:colOff>123263</xdr:colOff>
      <xdr:row>19</xdr:row>
      <xdr:rowOff>179294</xdr:rowOff>
    </xdr:to>
    <xdr:sp macro="" textlink="">
      <xdr:nvSpPr>
        <xdr:cNvPr id="7" name="TextBox 6">
          <a:extLst>
            <a:ext uri="{FF2B5EF4-FFF2-40B4-BE49-F238E27FC236}">
              <a16:creationId xmlns:a16="http://schemas.microsoft.com/office/drawing/2014/main" id="{76606579-0FE6-F1FA-84A7-1FF341124BAE}"/>
            </a:ext>
          </a:extLst>
        </xdr:cNvPr>
        <xdr:cNvSpPr txBox="1"/>
      </xdr:nvSpPr>
      <xdr:spPr>
        <a:xfrm>
          <a:off x="3160058" y="3395381"/>
          <a:ext cx="1199029" cy="403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rPr>
            <a:t>Males</a:t>
          </a:r>
        </a:p>
      </xdr:txBody>
    </xdr:sp>
    <xdr:clientData/>
  </xdr:twoCellAnchor>
  <xdr:twoCellAnchor>
    <xdr:from>
      <xdr:col>22</xdr:col>
      <xdr:colOff>179295</xdr:colOff>
      <xdr:row>27</xdr:row>
      <xdr:rowOff>168089</xdr:rowOff>
    </xdr:from>
    <xdr:to>
      <xdr:col>22</xdr:col>
      <xdr:colOff>392206</xdr:colOff>
      <xdr:row>29</xdr:row>
      <xdr:rowOff>0</xdr:rowOff>
    </xdr:to>
    <xdr:sp macro="" textlink="">
      <xdr:nvSpPr>
        <xdr:cNvPr id="13" name="Flowchart: Connector 12">
          <a:extLst>
            <a:ext uri="{FF2B5EF4-FFF2-40B4-BE49-F238E27FC236}">
              <a16:creationId xmlns:a16="http://schemas.microsoft.com/office/drawing/2014/main" id="{520626D7-E2B7-3189-41FC-3B90F1CAD25B}"/>
            </a:ext>
          </a:extLst>
        </xdr:cNvPr>
        <xdr:cNvSpPr/>
      </xdr:nvSpPr>
      <xdr:spPr>
        <a:xfrm>
          <a:off x="13491883" y="5311589"/>
          <a:ext cx="212911" cy="212911"/>
        </a:xfrm>
        <a:prstGeom prst="flowChartConnector">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179295</xdr:colOff>
      <xdr:row>38</xdr:row>
      <xdr:rowOff>33619</xdr:rowOff>
    </xdr:from>
    <xdr:to>
      <xdr:col>22</xdr:col>
      <xdr:colOff>392206</xdr:colOff>
      <xdr:row>39</xdr:row>
      <xdr:rowOff>56030</xdr:rowOff>
    </xdr:to>
    <xdr:sp macro="" textlink="">
      <xdr:nvSpPr>
        <xdr:cNvPr id="14" name="Flowchart: Connector 13">
          <a:extLst>
            <a:ext uri="{FF2B5EF4-FFF2-40B4-BE49-F238E27FC236}">
              <a16:creationId xmlns:a16="http://schemas.microsoft.com/office/drawing/2014/main" id="{B914CE1E-7BE0-B85D-9EEB-270D15EC0B61}"/>
            </a:ext>
          </a:extLst>
        </xdr:cNvPr>
        <xdr:cNvSpPr/>
      </xdr:nvSpPr>
      <xdr:spPr>
        <a:xfrm>
          <a:off x="13491883" y="7272619"/>
          <a:ext cx="212911" cy="212911"/>
        </a:xfrm>
        <a:prstGeom prst="flowChartConnector">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190501</xdr:colOff>
      <xdr:row>38</xdr:row>
      <xdr:rowOff>33619</xdr:rowOff>
    </xdr:from>
    <xdr:to>
      <xdr:col>19</xdr:col>
      <xdr:colOff>403412</xdr:colOff>
      <xdr:row>39</xdr:row>
      <xdr:rowOff>56030</xdr:rowOff>
    </xdr:to>
    <xdr:sp macro="" textlink="">
      <xdr:nvSpPr>
        <xdr:cNvPr id="19" name="Flowchart: Connector 18">
          <a:extLst>
            <a:ext uri="{FF2B5EF4-FFF2-40B4-BE49-F238E27FC236}">
              <a16:creationId xmlns:a16="http://schemas.microsoft.com/office/drawing/2014/main" id="{0B1755FB-3BE6-D8A7-9955-D4E15D9A5265}"/>
            </a:ext>
          </a:extLst>
        </xdr:cNvPr>
        <xdr:cNvSpPr/>
      </xdr:nvSpPr>
      <xdr:spPr>
        <a:xfrm>
          <a:off x="11687736" y="7272619"/>
          <a:ext cx="212911" cy="212911"/>
        </a:xfrm>
        <a:prstGeom prst="flowChartConnector">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571502</xdr:colOff>
      <xdr:row>25</xdr:row>
      <xdr:rowOff>89647</xdr:rowOff>
    </xdr:from>
    <xdr:to>
      <xdr:col>17</xdr:col>
      <xdr:colOff>112060</xdr:colOff>
      <xdr:row>26</xdr:row>
      <xdr:rowOff>56028</xdr:rowOff>
    </xdr:to>
    <xdr:sp macro="" textlink="">
      <xdr:nvSpPr>
        <xdr:cNvPr id="23" name="Flowchart: Connector 22">
          <a:extLst>
            <a:ext uri="{FF2B5EF4-FFF2-40B4-BE49-F238E27FC236}">
              <a16:creationId xmlns:a16="http://schemas.microsoft.com/office/drawing/2014/main" id="{FAAF5242-89CD-38E4-0B05-EA245EC68A9F}"/>
            </a:ext>
          </a:extLst>
        </xdr:cNvPr>
        <xdr:cNvSpPr/>
      </xdr:nvSpPr>
      <xdr:spPr>
        <a:xfrm>
          <a:off x="10253384" y="4852147"/>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309283</xdr:colOff>
      <xdr:row>28</xdr:row>
      <xdr:rowOff>96371</xdr:rowOff>
    </xdr:from>
    <xdr:to>
      <xdr:col>11</xdr:col>
      <xdr:colOff>454959</xdr:colOff>
      <xdr:row>29</xdr:row>
      <xdr:rowOff>62752</xdr:rowOff>
    </xdr:to>
    <xdr:sp macro="" textlink="">
      <xdr:nvSpPr>
        <xdr:cNvPr id="24" name="Flowchart: Connector 23">
          <a:extLst>
            <a:ext uri="{FF2B5EF4-FFF2-40B4-BE49-F238E27FC236}">
              <a16:creationId xmlns:a16="http://schemas.microsoft.com/office/drawing/2014/main" id="{488843BD-2F1A-4108-A40E-DD2F0B504F8A}"/>
            </a:ext>
          </a:extLst>
        </xdr:cNvPr>
        <xdr:cNvSpPr/>
      </xdr:nvSpPr>
      <xdr:spPr>
        <a:xfrm>
          <a:off x="6965577" y="5430371"/>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227175</xdr:colOff>
      <xdr:row>32</xdr:row>
      <xdr:rowOff>84262</xdr:rowOff>
    </xdr:from>
    <xdr:to>
      <xdr:col>10</xdr:col>
      <xdr:colOff>136071</xdr:colOff>
      <xdr:row>45</xdr:row>
      <xdr:rowOff>61850</xdr:rowOff>
    </xdr:to>
    <xdr:graphicFrame macro="">
      <xdr:nvGraphicFramePr>
        <xdr:cNvPr id="25" name="Chart 24">
          <a:extLst>
            <a:ext uri="{FF2B5EF4-FFF2-40B4-BE49-F238E27FC236}">
              <a16:creationId xmlns:a16="http://schemas.microsoft.com/office/drawing/2014/main" id="{7D07D261-B1BC-444C-AB86-81B1E40A1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454058</xdr:colOff>
      <xdr:row>27</xdr:row>
      <xdr:rowOff>89645</xdr:rowOff>
    </xdr:from>
    <xdr:to>
      <xdr:col>8</xdr:col>
      <xdr:colOff>420441</xdr:colOff>
      <xdr:row>30</xdr:row>
      <xdr:rowOff>134468</xdr:rowOff>
    </xdr:to>
    <xdr:sp macro="" textlink="">
      <xdr:nvSpPr>
        <xdr:cNvPr id="26" name="TextBox 25">
          <a:extLst>
            <a:ext uri="{FF2B5EF4-FFF2-40B4-BE49-F238E27FC236}">
              <a16:creationId xmlns:a16="http://schemas.microsoft.com/office/drawing/2014/main" id="{92531EF0-2BB5-628E-5FF5-F5C3FDE8040F}"/>
            </a:ext>
          </a:extLst>
        </xdr:cNvPr>
        <xdr:cNvSpPr txBox="1"/>
      </xdr:nvSpPr>
      <xdr:spPr>
        <a:xfrm>
          <a:off x="3484740" y="5099548"/>
          <a:ext cx="1784792" cy="601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Age</a:t>
          </a:r>
          <a:r>
            <a:rPr lang="en-US" sz="1100"/>
            <a:t> </a:t>
          </a:r>
          <a:r>
            <a:rPr lang="en-US" sz="2200" b="1">
              <a:solidFill>
                <a:srgbClr val="FFC107"/>
              </a:solidFill>
              <a:latin typeface="+mn-lt"/>
              <a:ea typeface="+mn-ea"/>
              <a:cs typeface="+mn-cs"/>
            </a:rPr>
            <a:t>Range</a:t>
          </a:r>
        </a:p>
      </xdr:txBody>
    </xdr:sp>
    <xdr:clientData/>
  </xdr:twoCellAnchor>
  <xdr:twoCellAnchor>
    <xdr:from>
      <xdr:col>5</xdr:col>
      <xdr:colOff>304801</xdr:colOff>
      <xdr:row>28</xdr:row>
      <xdr:rowOff>69476</xdr:rowOff>
    </xdr:from>
    <xdr:to>
      <xdr:col>5</xdr:col>
      <xdr:colOff>450477</xdr:colOff>
      <xdr:row>29</xdr:row>
      <xdr:rowOff>35857</xdr:rowOff>
    </xdr:to>
    <xdr:sp macro="" textlink="">
      <xdr:nvSpPr>
        <xdr:cNvPr id="30" name="Flowchart: Connector 29">
          <a:extLst>
            <a:ext uri="{FF2B5EF4-FFF2-40B4-BE49-F238E27FC236}">
              <a16:creationId xmlns:a16="http://schemas.microsoft.com/office/drawing/2014/main" id="{D44FEEC9-B18C-422B-8B9C-E1184D076BE8}"/>
            </a:ext>
          </a:extLst>
        </xdr:cNvPr>
        <xdr:cNvSpPr/>
      </xdr:nvSpPr>
      <xdr:spPr>
        <a:xfrm>
          <a:off x="3330389" y="5403476"/>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44826</xdr:colOff>
      <xdr:row>17</xdr:row>
      <xdr:rowOff>112060</xdr:rowOff>
    </xdr:from>
    <xdr:to>
      <xdr:col>10</xdr:col>
      <xdr:colOff>403414</xdr:colOff>
      <xdr:row>26</xdr:row>
      <xdr:rowOff>112060</xdr:rowOff>
    </xdr:to>
    <xdr:sp macro="" textlink="">
      <xdr:nvSpPr>
        <xdr:cNvPr id="36" name="Rectangle: Rounded Corners 35">
          <a:extLst>
            <a:ext uri="{FF2B5EF4-FFF2-40B4-BE49-F238E27FC236}">
              <a16:creationId xmlns:a16="http://schemas.microsoft.com/office/drawing/2014/main" id="{EA0F0A47-7DB5-88BA-7FC7-747414F8D415}"/>
            </a:ext>
          </a:extLst>
        </xdr:cNvPr>
        <xdr:cNvSpPr/>
      </xdr:nvSpPr>
      <xdr:spPr>
        <a:xfrm>
          <a:off x="4885767" y="3350560"/>
          <a:ext cx="1568823" cy="1714500"/>
        </a:xfrm>
        <a:prstGeom prst="roundRect">
          <a:avLst/>
        </a:prstGeom>
        <a:solidFill>
          <a:srgbClr val="3335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295836</xdr:colOff>
      <xdr:row>34</xdr:row>
      <xdr:rowOff>112059</xdr:rowOff>
    </xdr:from>
    <xdr:to>
      <xdr:col>4</xdr:col>
      <xdr:colOff>392205</xdr:colOff>
      <xdr:row>38</xdr:row>
      <xdr:rowOff>156883</xdr:rowOff>
    </xdr:to>
    <xdr:graphicFrame macro="">
      <xdr:nvGraphicFramePr>
        <xdr:cNvPr id="38" name="Chart 37">
          <a:extLst>
            <a:ext uri="{FF2B5EF4-FFF2-40B4-BE49-F238E27FC236}">
              <a16:creationId xmlns:a16="http://schemas.microsoft.com/office/drawing/2014/main" id="{31D13202-F7E7-411C-AB9C-2491C982F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324971</xdr:colOff>
      <xdr:row>38</xdr:row>
      <xdr:rowOff>22412</xdr:rowOff>
    </xdr:from>
    <xdr:to>
      <xdr:col>4</xdr:col>
      <xdr:colOff>313763</xdr:colOff>
      <xdr:row>42</xdr:row>
      <xdr:rowOff>88245</xdr:rowOff>
    </xdr:to>
    <xdr:graphicFrame macro="">
      <xdr:nvGraphicFramePr>
        <xdr:cNvPr id="41" name="Chart 40">
          <a:extLst>
            <a:ext uri="{FF2B5EF4-FFF2-40B4-BE49-F238E27FC236}">
              <a16:creationId xmlns:a16="http://schemas.microsoft.com/office/drawing/2014/main" id="{CDF361E5-B3A8-48DD-BC20-F4CD57CDB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297517</xdr:colOff>
      <xdr:row>41</xdr:row>
      <xdr:rowOff>139513</xdr:rowOff>
    </xdr:from>
    <xdr:to>
      <xdr:col>4</xdr:col>
      <xdr:colOff>212911</xdr:colOff>
      <xdr:row>46</xdr:row>
      <xdr:rowOff>49024</xdr:rowOff>
    </xdr:to>
    <xdr:graphicFrame macro="">
      <xdr:nvGraphicFramePr>
        <xdr:cNvPr id="43" name="Chart 42">
          <a:extLst>
            <a:ext uri="{FF2B5EF4-FFF2-40B4-BE49-F238E27FC236}">
              <a16:creationId xmlns:a16="http://schemas.microsoft.com/office/drawing/2014/main" id="{B0BA7619-B0FF-4FDC-89D6-EAC45E20F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336176</xdr:colOff>
      <xdr:row>33</xdr:row>
      <xdr:rowOff>168091</xdr:rowOff>
    </xdr:from>
    <xdr:to>
      <xdr:col>3</xdr:col>
      <xdr:colOff>201706</xdr:colOff>
      <xdr:row>35</xdr:row>
      <xdr:rowOff>156885</xdr:rowOff>
    </xdr:to>
    <xdr:sp macro="" textlink="">
      <xdr:nvSpPr>
        <xdr:cNvPr id="44" name="TextBox 43">
          <a:extLst>
            <a:ext uri="{FF2B5EF4-FFF2-40B4-BE49-F238E27FC236}">
              <a16:creationId xmlns:a16="http://schemas.microsoft.com/office/drawing/2014/main" id="{09B06A43-E07F-9222-3FD0-8D578A23D2A2}"/>
            </a:ext>
          </a:extLst>
        </xdr:cNvPr>
        <xdr:cNvSpPr txBox="1"/>
      </xdr:nvSpPr>
      <xdr:spPr>
        <a:xfrm>
          <a:off x="336176" y="6454591"/>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Branch</a:t>
          </a:r>
          <a:r>
            <a:rPr lang="en-US" sz="2000" b="1">
              <a:solidFill>
                <a:schemeClr val="bg1"/>
              </a:solidFill>
              <a:latin typeface="+mn-lt"/>
              <a:ea typeface="+mn-ea"/>
              <a:cs typeface="+mn-cs"/>
            </a:rPr>
            <a:t> </a:t>
          </a:r>
          <a:r>
            <a:rPr lang="en-US" sz="2000" b="0">
              <a:solidFill>
                <a:schemeClr val="bg1"/>
              </a:solidFill>
              <a:latin typeface="+mn-lt"/>
              <a:ea typeface="+mn-ea"/>
              <a:cs typeface="+mn-cs"/>
            </a:rPr>
            <a:t>Office</a:t>
          </a:r>
        </a:p>
      </xdr:txBody>
    </xdr:sp>
    <xdr:clientData/>
  </xdr:twoCellAnchor>
  <xdr:twoCellAnchor>
    <xdr:from>
      <xdr:col>0</xdr:col>
      <xdr:colOff>358587</xdr:colOff>
      <xdr:row>41</xdr:row>
      <xdr:rowOff>22413</xdr:rowOff>
    </xdr:from>
    <xdr:to>
      <xdr:col>3</xdr:col>
      <xdr:colOff>224117</xdr:colOff>
      <xdr:row>43</xdr:row>
      <xdr:rowOff>11207</xdr:rowOff>
    </xdr:to>
    <xdr:sp macro="" textlink="">
      <xdr:nvSpPr>
        <xdr:cNvPr id="45" name="TextBox 44">
          <a:extLst>
            <a:ext uri="{FF2B5EF4-FFF2-40B4-BE49-F238E27FC236}">
              <a16:creationId xmlns:a16="http://schemas.microsoft.com/office/drawing/2014/main" id="{E1036DFA-438E-A753-04EC-194A5D5D7DFF}"/>
            </a:ext>
          </a:extLst>
        </xdr:cNvPr>
        <xdr:cNvSpPr txBox="1"/>
      </xdr:nvSpPr>
      <xdr:spPr>
        <a:xfrm>
          <a:off x="358587" y="7832913"/>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Remote</a:t>
          </a:r>
        </a:p>
      </xdr:txBody>
    </xdr:sp>
    <xdr:clientData/>
  </xdr:twoCellAnchor>
  <xdr:twoCellAnchor>
    <xdr:from>
      <xdr:col>0</xdr:col>
      <xdr:colOff>358587</xdr:colOff>
      <xdr:row>37</xdr:row>
      <xdr:rowOff>67236</xdr:rowOff>
    </xdr:from>
    <xdr:to>
      <xdr:col>3</xdr:col>
      <xdr:colOff>347381</xdr:colOff>
      <xdr:row>40</xdr:row>
      <xdr:rowOff>11206</xdr:rowOff>
    </xdr:to>
    <xdr:sp macro="" textlink="">
      <xdr:nvSpPr>
        <xdr:cNvPr id="46" name="TextBox 45">
          <a:extLst>
            <a:ext uri="{FF2B5EF4-FFF2-40B4-BE49-F238E27FC236}">
              <a16:creationId xmlns:a16="http://schemas.microsoft.com/office/drawing/2014/main" id="{ACB5AF59-9859-5D05-F0B5-CDFCDA89D70D}"/>
            </a:ext>
          </a:extLst>
        </xdr:cNvPr>
        <xdr:cNvSpPr txBox="1"/>
      </xdr:nvSpPr>
      <xdr:spPr>
        <a:xfrm>
          <a:off x="358587" y="7115736"/>
          <a:ext cx="1804147" cy="51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Head</a:t>
          </a:r>
          <a:r>
            <a:rPr lang="en-US" sz="1900" b="1">
              <a:solidFill>
                <a:schemeClr val="bg1"/>
              </a:solidFill>
              <a:latin typeface="+mn-lt"/>
              <a:ea typeface="+mn-ea"/>
              <a:cs typeface="+mn-cs"/>
            </a:rPr>
            <a:t> </a:t>
          </a:r>
          <a:r>
            <a:rPr lang="en-US" sz="2000" b="0">
              <a:solidFill>
                <a:schemeClr val="bg1"/>
              </a:solidFill>
              <a:latin typeface="+mn-lt"/>
              <a:ea typeface="+mn-ea"/>
              <a:cs typeface="+mn-cs"/>
            </a:rPr>
            <a:t>Office</a:t>
          </a:r>
        </a:p>
      </xdr:txBody>
    </xdr:sp>
    <xdr:clientData/>
  </xdr:twoCellAnchor>
  <xdr:twoCellAnchor>
    <xdr:from>
      <xdr:col>3</xdr:col>
      <xdr:colOff>414618</xdr:colOff>
      <xdr:row>35</xdr:row>
      <xdr:rowOff>179297</xdr:rowOff>
    </xdr:from>
    <xdr:to>
      <xdr:col>4</xdr:col>
      <xdr:colOff>302560</xdr:colOff>
      <xdr:row>37</xdr:row>
      <xdr:rowOff>168091</xdr:rowOff>
    </xdr:to>
    <xdr:sp macro="" textlink="'Pivot Table'!O8">
      <xdr:nvSpPr>
        <xdr:cNvPr id="47" name="TextBox 46">
          <a:extLst>
            <a:ext uri="{FF2B5EF4-FFF2-40B4-BE49-F238E27FC236}">
              <a16:creationId xmlns:a16="http://schemas.microsoft.com/office/drawing/2014/main" id="{419FF245-27A4-FBB1-9D6A-F7DE7EC25DC7}"/>
            </a:ext>
          </a:extLst>
        </xdr:cNvPr>
        <xdr:cNvSpPr txBox="1"/>
      </xdr:nvSpPr>
      <xdr:spPr>
        <a:xfrm>
          <a:off x="2229971" y="6846797"/>
          <a:ext cx="493060"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B23796-C0A5-461D-A35A-D5BBFF106BE1}" type="TxLink">
            <a:rPr lang="en-US" sz="1400" b="1" i="0" u="none" strike="noStrike">
              <a:solidFill>
                <a:schemeClr val="bg1"/>
              </a:solidFill>
              <a:latin typeface="Calibri"/>
              <a:ea typeface="Calibri"/>
              <a:cs typeface="Calibri"/>
            </a:rPr>
            <a:pPr/>
            <a:t>46%</a:t>
          </a:fld>
          <a:endParaRPr lang="en-US" sz="2800" b="1">
            <a:solidFill>
              <a:schemeClr val="bg1"/>
            </a:solidFill>
            <a:latin typeface="+mn-lt"/>
            <a:ea typeface="+mn-ea"/>
            <a:cs typeface="+mn-cs"/>
          </a:endParaRPr>
        </a:p>
      </xdr:txBody>
    </xdr:sp>
    <xdr:clientData/>
  </xdr:twoCellAnchor>
  <xdr:twoCellAnchor>
    <xdr:from>
      <xdr:col>3</xdr:col>
      <xdr:colOff>437028</xdr:colOff>
      <xdr:row>43</xdr:row>
      <xdr:rowOff>33619</xdr:rowOff>
    </xdr:from>
    <xdr:to>
      <xdr:col>4</xdr:col>
      <xdr:colOff>437029</xdr:colOff>
      <xdr:row>45</xdr:row>
      <xdr:rowOff>112059</xdr:rowOff>
    </xdr:to>
    <xdr:sp macro="" textlink="'Pivot Table'!O10">
      <xdr:nvSpPr>
        <xdr:cNvPr id="48" name="TextBox 47">
          <a:extLst>
            <a:ext uri="{FF2B5EF4-FFF2-40B4-BE49-F238E27FC236}">
              <a16:creationId xmlns:a16="http://schemas.microsoft.com/office/drawing/2014/main" id="{005381DA-8692-AED2-6F18-E1EEF1B15CE5}"/>
            </a:ext>
          </a:extLst>
        </xdr:cNvPr>
        <xdr:cNvSpPr txBox="1"/>
      </xdr:nvSpPr>
      <xdr:spPr>
        <a:xfrm>
          <a:off x="2252381" y="8225119"/>
          <a:ext cx="605119" cy="459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62AEEAE-4738-485E-BE5B-028929071E14}" type="TxLink">
            <a:rPr lang="en-US" sz="1400" b="1" i="0" u="none" strike="noStrike">
              <a:solidFill>
                <a:schemeClr val="bg1"/>
              </a:solidFill>
              <a:latin typeface="Calibri"/>
              <a:ea typeface="Calibri"/>
              <a:cs typeface="Calibri"/>
            </a:rPr>
            <a:pPr marL="0" indent="0"/>
            <a:t>38%</a:t>
          </a:fld>
          <a:endParaRPr lang="en-US" sz="1400" b="1" i="0" u="none" strike="noStrike">
            <a:solidFill>
              <a:schemeClr val="bg1"/>
            </a:solidFill>
            <a:latin typeface="Calibri"/>
            <a:ea typeface="Calibri"/>
            <a:cs typeface="Calibri"/>
          </a:endParaRPr>
        </a:p>
      </xdr:txBody>
    </xdr:sp>
    <xdr:clientData/>
  </xdr:twoCellAnchor>
  <xdr:twoCellAnchor>
    <xdr:from>
      <xdr:col>3</xdr:col>
      <xdr:colOff>437028</xdr:colOff>
      <xdr:row>39</xdr:row>
      <xdr:rowOff>78442</xdr:rowOff>
    </xdr:from>
    <xdr:to>
      <xdr:col>4</xdr:col>
      <xdr:colOff>336176</xdr:colOff>
      <xdr:row>41</xdr:row>
      <xdr:rowOff>44824</xdr:rowOff>
    </xdr:to>
    <xdr:sp macro="" textlink="'Pivot Table'!O9">
      <xdr:nvSpPr>
        <xdr:cNvPr id="49" name="TextBox 48">
          <a:extLst>
            <a:ext uri="{FF2B5EF4-FFF2-40B4-BE49-F238E27FC236}">
              <a16:creationId xmlns:a16="http://schemas.microsoft.com/office/drawing/2014/main" id="{20356832-B9D4-B2A9-5F63-C5B205BF7685}"/>
            </a:ext>
          </a:extLst>
        </xdr:cNvPr>
        <xdr:cNvSpPr txBox="1"/>
      </xdr:nvSpPr>
      <xdr:spPr>
        <a:xfrm>
          <a:off x="2252381" y="7507942"/>
          <a:ext cx="504266" cy="34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E0ADEC-2C21-432A-897B-AF4E00C9799D}" type="TxLink">
            <a:rPr lang="en-US" sz="1400" b="1" i="0" u="none" strike="noStrike">
              <a:solidFill>
                <a:schemeClr val="bg1"/>
              </a:solidFill>
              <a:latin typeface="Calibri"/>
              <a:ea typeface="Calibri"/>
              <a:cs typeface="Calibri"/>
            </a:rPr>
            <a:pPr marL="0" indent="0"/>
            <a:t>16%</a:t>
          </a:fld>
          <a:endParaRPr lang="en-US" sz="1400" b="1" i="0" u="none" strike="noStrike">
            <a:solidFill>
              <a:schemeClr val="bg1"/>
            </a:solidFill>
            <a:latin typeface="Calibri"/>
            <a:ea typeface="Calibri"/>
            <a:cs typeface="Calibri"/>
          </a:endParaRPr>
        </a:p>
      </xdr:txBody>
    </xdr:sp>
    <xdr:clientData/>
  </xdr:twoCellAnchor>
  <xdr:twoCellAnchor>
    <xdr:from>
      <xdr:col>0</xdr:col>
      <xdr:colOff>593910</xdr:colOff>
      <xdr:row>30</xdr:row>
      <xdr:rowOff>22410</xdr:rowOff>
    </xdr:from>
    <xdr:to>
      <xdr:col>4</xdr:col>
      <xdr:colOff>302556</xdr:colOff>
      <xdr:row>34</xdr:row>
      <xdr:rowOff>33618</xdr:rowOff>
    </xdr:to>
    <xdr:sp macro="" textlink="">
      <xdr:nvSpPr>
        <xdr:cNvPr id="52" name="TextBox 51">
          <a:extLst>
            <a:ext uri="{FF2B5EF4-FFF2-40B4-BE49-F238E27FC236}">
              <a16:creationId xmlns:a16="http://schemas.microsoft.com/office/drawing/2014/main" id="{77E86B74-622C-3BDC-3811-4BAD8A97AA64}"/>
            </a:ext>
          </a:extLst>
        </xdr:cNvPr>
        <xdr:cNvSpPr txBox="1"/>
      </xdr:nvSpPr>
      <xdr:spPr>
        <a:xfrm>
          <a:off x="593910" y="5737410"/>
          <a:ext cx="2129117" cy="773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Work Location</a:t>
          </a:r>
        </a:p>
      </xdr:txBody>
    </xdr:sp>
    <xdr:clientData/>
  </xdr:twoCellAnchor>
  <xdr:twoCellAnchor>
    <xdr:from>
      <xdr:col>0</xdr:col>
      <xdr:colOff>445995</xdr:colOff>
      <xdr:row>30</xdr:row>
      <xdr:rowOff>177054</xdr:rowOff>
    </xdr:from>
    <xdr:to>
      <xdr:col>0</xdr:col>
      <xdr:colOff>591671</xdr:colOff>
      <xdr:row>31</xdr:row>
      <xdr:rowOff>143435</xdr:rowOff>
    </xdr:to>
    <xdr:sp macro="" textlink="">
      <xdr:nvSpPr>
        <xdr:cNvPr id="53" name="Flowchart: Connector 52">
          <a:extLst>
            <a:ext uri="{FF2B5EF4-FFF2-40B4-BE49-F238E27FC236}">
              <a16:creationId xmlns:a16="http://schemas.microsoft.com/office/drawing/2014/main" id="{9E73B6B6-21C3-488E-AF9C-79673D2E50C7}"/>
            </a:ext>
          </a:extLst>
        </xdr:cNvPr>
        <xdr:cNvSpPr/>
      </xdr:nvSpPr>
      <xdr:spPr>
        <a:xfrm>
          <a:off x="445995" y="5892054"/>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425823</xdr:colOff>
      <xdr:row>31</xdr:row>
      <xdr:rowOff>179296</xdr:rowOff>
    </xdr:from>
    <xdr:to>
      <xdr:col>5</xdr:col>
      <xdr:colOff>392207</xdr:colOff>
      <xdr:row>34</xdr:row>
      <xdr:rowOff>33618</xdr:rowOff>
    </xdr:to>
    <xdr:sp macro="" textlink="">
      <xdr:nvSpPr>
        <xdr:cNvPr id="54" name="TextBox 53">
          <a:extLst>
            <a:ext uri="{FF2B5EF4-FFF2-40B4-BE49-F238E27FC236}">
              <a16:creationId xmlns:a16="http://schemas.microsoft.com/office/drawing/2014/main" id="{4755D34F-A03F-B327-D8AE-4AF9C8CAC664}"/>
            </a:ext>
          </a:extLst>
        </xdr:cNvPr>
        <xdr:cNvSpPr txBox="1"/>
      </xdr:nvSpPr>
      <xdr:spPr>
        <a:xfrm>
          <a:off x="425823" y="6084796"/>
          <a:ext cx="2991972" cy="425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lumMod val="75000"/>
                </a:schemeClr>
              </a:solidFill>
            </a:rPr>
            <a:t>Employees in Work Location</a:t>
          </a:r>
        </a:p>
      </xdr:txBody>
    </xdr:sp>
    <xdr:clientData/>
  </xdr:twoCellAnchor>
  <xdr:twoCellAnchor>
    <xdr:from>
      <xdr:col>8</xdr:col>
      <xdr:colOff>112057</xdr:colOff>
      <xdr:row>17</xdr:row>
      <xdr:rowOff>156881</xdr:rowOff>
    </xdr:from>
    <xdr:to>
      <xdr:col>10</xdr:col>
      <xdr:colOff>100851</xdr:colOff>
      <xdr:row>19</xdr:row>
      <xdr:rowOff>179294</xdr:rowOff>
    </xdr:to>
    <xdr:sp macro="" textlink="">
      <xdr:nvSpPr>
        <xdr:cNvPr id="55" name="TextBox 54">
          <a:extLst>
            <a:ext uri="{FF2B5EF4-FFF2-40B4-BE49-F238E27FC236}">
              <a16:creationId xmlns:a16="http://schemas.microsoft.com/office/drawing/2014/main" id="{CB085D9A-D3CA-74F0-8590-083C88054D9B}"/>
            </a:ext>
          </a:extLst>
        </xdr:cNvPr>
        <xdr:cNvSpPr txBox="1"/>
      </xdr:nvSpPr>
      <xdr:spPr>
        <a:xfrm>
          <a:off x="4952998" y="3395381"/>
          <a:ext cx="1199029" cy="403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rPr>
            <a:t>Females</a:t>
          </a:r>
        </a:p>
      </xdr:txBody>
    </xdr:sp>
    <xdr:clientData/>
  </xdr:twoCellAnchor>
  <xdr:twoCellAnchor>
    <xdr:from>
      <xdr:col>0</xdr:col>
      <xdr:colOff>526676</xdr:colOff>
      <xdr:row>16</xdr:row>
      <xdr:rowOff>100857</xdr:rowOff>
    </xdr:from>
    <xdr:to>
      <xdr:col>4</xdr:col>
      <xdr:colOff>78441</xdr:colOff>
      <xdr:row>18</xdr:row>
      <xdr:rowOff>112059</xdr:rowOff>
    </xdr:to>
    <xdr:sp macro="" textlink="">
      <xdr:nvSpPr>
        <xdr:cNvPr id="56" name="TextBox 55">
          <a:extLst>
            <a:ext uri="{FF2B5EF4-FFF2-40B4-BE49-F238E27FC236}">
              <a16:creationId xmlns:a16="http://schemas.microsoft.com/office/drawing/2014/main" id="{858F0AB6-20A3-5F7E-E8DB-36E1E64A75AF}"/>
            </a:ext>
          </a:extLst>
        </xdr:cNvPr>
        <xdr:cNvSpPr txBox="1"/>
      </xdr:nvSpPr>
      <xdr:spPr>
        <a:xfrm>
          <a:off x="526676" y="3148857"/>
          <a:ext cx="1972236" cy="392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Communication</a:t>
          </a:r>
        </a:p>
      </xdr:txBody>
    </xdr:sp>
    <xdr:clientData/>
  </xdr:twoCellAnchor>
  <xdr:twoCellAnchor>
    <xdr:from>
      <xdr:col>0</xdr:col>
      <xdr:colOff>526676</xdr:colOff>
      <xdr:row>25</xdr:row>
      <xdr:rowOff>67239</xdr:rowOff>
    </xdr:from>
    <xdr:to>
      <xdr:col>3</xdr:col>
      <xdr:colOff>392206</xdr:colOff>
      <xdr:row>27</xdr:row>
      <xdr:rowOff>56033</xdr:rowOff>
    </xdr:to>
    <xdr:sp macro="" textlink="">
      <xdr:nvSpPr>
        <xdr:cNvPr id="74" name="TextBox 73">
          <a:extLst>
            <a:ext uri="{FF2B5EF4-FFF2-40B4-BE49-F238E27FC236}">
              <a16:creationId xmlns:a16="http://schemas.microsoft.com/office/drawing/2014/main" id="{1BF9FB2B-0384-BE84-04AE-29212EC85589}"/>
            </a:ext>
          </a:extLst>
        </xdr:cNvPr>
        <xdr:cNvSpPr txBox="1"/>
      </xdr:nvSpPr>
      <xdr:spPr>
        <a:xfrm>
          <a:off x="526676" y="4829739"/>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Python</a:t>
          </a:r>
        </a:p>
      </xdr:txBody>
    </xdr:sp>
    <xdr:clientData/>
  </xdr:twoCellAnchor>
  <xdr:twoCellAnchor>
    <xdr:from>
      <xdr:col>0</xdr:col>
      <xdr:colOff>526676</xdr:colOff>
      <xdr:row>23</xdr:row>
      <xdr:rowOff>22415</xdr:rowOff>
    </xdr:from>
    <xdr:to>
      <xdr:col>3</xdr:col>
      <xdr:colOff>392206</xdr:colOff>
      <xdr:row>25</xdr:row>
      <xdr:rowOff>11209</xdr:rowOff>
    </xdr:to>
    <xdr:sp macro="" textlink="">
      <xdr:nvSpPr>
        <xdr:cNvPr id="75" name="TextBox 74">
          <a:extLst>
            <a:ext uri="{FF2B5EF4-FFF2-40B4-BE49-F238E27FC236}">
              <a16:creationId xmlns:a16="http://schemas.microsoft.com/office/drawing/2014/main" id="{CE679B66-CD84-A541-2A87-63AC0F1F0CF7}"/>
            </a:ext>
          </a:extLst>
        </xdr:cNvPr>
        <xdr:cNvSpPr txBox="1"/>
      </xdr:nvSpPr>
      <xdr:spPr>
        <a:xfrm>
          <a:off x="526676" y="4403915"/>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Management</a:t>
          </a:r>
        </a:p>
      </xdr:txBody>
    </xdr:sp>
    <xdr:clientData/>
  </xdr:twoCellAnchor>
  <xdr:twoCellAnchor>
    <xdr:from>
      <xdr:col>0</xdr:col>
      <xdr:colOff>526676</xdr:colOff>
      <xdr:row>21</xdr:row>
      <xdr:rowOff>3</xdr:rowOff>
    </xdr:from>
    <xdr:to>
      <xdr:col>3</xdr:col>
      <xdr:colOff>392206</xdr:colOff>
      <xdr:row>22</xdr:row>
      <xdr:rowOff>179297</xdr:rowOff>
    </xdr:to>
    <xdr:sp macro="" textlink="">
      <xdr:nvSpPr>
        <xdr:cNvPr id="82" name="TextBox 81">
          <a:extLst>
            <a:ext uri="{FF2B5EF4-FFF2-40B4-BE49-F238E27FC236}">
              <a16:creationId xmlns:a16="http://schemas.microsoft.com/office/drawing/2014/main" id="{35B2074B-5C59-0831-5A52-0111828E6EAE}"/>
            </a:ext>
          </a:extLst>
        </xdr:cNvPr>
        <xdr:cNvSpPr txBox="1"/>
      </xdr:nvSpPr>
      <xdr:spPr>
        <a:xfrm>
          <a:off x="526676" y="4000503"/>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Excel</a:t>
          </a:r>
        </a:p>
      </xdr:txBody>
    </xdr:sp>
    <xdr:clientData/>
  </xdr:twoCellAnchor>
  <xdr:twoCellAnchor>
    <xdr:from>
      <xdr:col>0</xdr:col>
      <xdr:colOff>526676</xdr:colOff>
      <xdr:row>18</xdr:row>
      <xdr:rowOff>156886</xdr:rowOff>
    </xdr:from>
    <xdr:to>
      <xdr:col>3</xdr:col>
      <xdr:colOff>392206</xdr:colOff>
      <xdr:row>20</xdr:row>
      <xdr:rowOff>145680</xdr:rowOff>
    </xdr:to>
    <xdr:sp macro="" textlink="">
      <xdr:nvSpPr>
        <xdr:cNvPr id="83" name="TextBox 82">
          <a:extLst>
            <a:ext uri="{FF2B5EF4-FFF2-40B4-BE49-F238E27FC236}">
              <a16:creationId xmlns:a16="http://schemas.microsoft.com/office/drawing/2014/main" id="{85CAA275-2BB2-1119-0354-6E2D86331032}"/>
            </a:ext>
          </a:extLst>
        </xdr:cNvPr>
        <xdr:cNvSpPr txBox="1"/>
      </xdr:nvSpPr>
      <xdr:spPr>
        <a:xfrm>
          <a:off x="526676" y="3585886"/>
          <a:ext cx="1680883" cy="36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latin typeface="+mn-lt"/>
              <a:ea typeface="+mn-ea"/>
              <a:cs typeface="+mn-cs"/>
            </a:rPr>
            <a:t>Design</a:t>
          </a:r>
        </a:p>
      </xdr:txBody>
    </xdr:sp>
    <xdr:clientData/>
  </xdr:twoCellAnchor>
  <xdr:twoCellAnchor>
    <xdr:from>
      <xdr:col>0</xdr:col>
      <xdr:colOff>394448</xdr:colOff>
      <xdr:row>17</xdr:row>
      <xdr:rowOff>58271</xdr:rowOff>
    </xdr:from>
    <xdr:to>
      <xdr:col>0</xdr:col>
      <xdr:colOff>540124</xdr:colOff>
      <xdr:row>18</xdr:row>
      <xdr:rowOff>24652</xdr:rowOff>
    </xdr:to>
    <xdr:sp macro="" textlink="">
      <xdr:nvSpPr>
        <xdr:cNvPr id="85" name="Flowchart: Connector 84">
          <a:extLst>
            <a:ext uri="{FF2B5EF4-FFF2-40B4-BE49-F238E27FC236}">
              <a16:creationId xmlns:a16="http://schemas.microsoft.com/office/drawing/2014/main" id="{91A6862A-A8E8-4B36-A4AD-506548726F2A}"/>
            </a:ext>
          </a:extLst>
        </xdr:cNvPr>
        <xdr:cNvSpPr/>
      </xdr:nvSpPr>
      <xdr:spPr>
        <a:xfrm>
          <a:off x="394448" y="3296771"/>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394448</xdr:colOff>
      <xdr:row>19</xdr:row>
      <xdr:rowOff>114300</xdr:rowOff>
    </xdr:from>
    <xdr:to>
      <xdr:col>0</xdr:col>
      <xdr:colOff>540124</xdr:colOff>
      <xdr:row>20</xdr:row>
      <xdr:rowOff>80681</xdr:rowOff>
    </xdr:to>
    <xdr:sp macro="" textlink="">
      <xdr:nvSpPr>
        <xdr:cNvPr id="87" name="Flowchart: Connector 86">
          <a:extLst>
            <a:ext uri="{FF2B5EF4-FFF2-40B4-BE49-F238E27FC236}">
              <a16:creationId xmlns:a16="http://schemas.microsoft.com/office/drawing/2014/main" id="{72A7FBB1-A690-8FFA-F9F1-307C992E7D3A}"/>
            </a:ext>
          </a:extLst>
        </xdr:cNvPr>
        <xdr:cNvSpPr/>
      </xdr:nvSpPr>
      <xdr:spPr>
        <a:xfrm>
          <a:off x="394448" y="3733800"/>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394448</xdr:colOff>
      <xdr:row>21</xdr:row>
      <xdr:rowOff>136712</xdr:rowOff>
    </xdr:from>
    <xdr:to>
      <xdr:col>0</xdr:col>
      <xdr:colOff>540124</xdr:colOff>
      <xdr:row>22</xdr:row>
      <xdr:rowOff>103093</xdr:rowOff>
    </xdr:to>
    <xdr:sp macro="" textlink="">
      <xdr:nvSpPr>
        <xdr:cNvPr id="88" name="Flowchart: Connector 87">
          <a:extLst>
            <a:ext uri="{FF2B5EF4-FFF2-40B4-BE49-F238E27FC236}">
              <a16:creationId xmlns:a16="http://schemas.microsoft.com/office/drawing/2014/main" id="{FB655E2A-C8BC-9904-3321-2BC546CDEEB6}"/>
            </a:ext>
          </a:extLst>
        </xdr:cNvPr>
        <xdr:cNvSpPr/>
      </xdr:nvSpPr>
      <xdr:spPr>
        <a:xfrm>
          <a:off x="394448" y="4137212"/>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394448</xdr:colOff>
      <xdr:row>23</xdr:row>
      <xdr:rowOff>181536</xdr:rowOff>
    </xdr:from>
    <xdr:to>
      <xdr:col>0</xdr:col>
      <xdr:colOff>540124</xdr:colOff>
      <xdr:row>24</xdr:row>
      <xdr:rowOff>147917</xdr:rowOff>
    </xdr:to>
    <xdr:sp macro="" textlink="">
      <xdr:nvSpPr>
        <xdr:cNvPr id="89" name="Flowchart: Connector 88">
          <a:extLst>
            <a:ext uri="{FF2B5EF4-FFF2-40B4-BE49-F238E27FC236}">
              <a16:creationId xmlns:a16="http://schemas.microsoft.com/office/drawing/2014/main" id="{72AB621B-4828-31EF-2FA0-75629EE67DEA}"/>
            </a:ext>
          </a:extLst>
        </xdr:cNvPr>
        <xdr:cNvSpPr/>
      </xdr:nvSpPr>
      <xdr:spPr>
        <a:xfrm>
          <a:off x="394448" y="4563036"/>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394448</xdr:colOff>
      <xdr:row>26</xdr:row>
      <xdr:rowOff>35859</xdr:rowOff>
    </xdr:from>
    <xdr:to>
      <xdr:col>0</xdr:col>
      <xdr:colOff>540124</xdr:colOff>
      <xdr:row>27</xdr:row>
      <xdr:rowOff>2240</xdr:rowOff>
    </xdr:to>
    <xdr:sp macro="" textlink="">
      <xdr:nvSpPr>
        <xdr:cNvPr id="90" name="Flowchart: Connector 89">
          <a:extLst>
            <a:ext uri="{FF2B5EF4-FFF2-40B4-BE49-F238E27FC236}">
              <a16:creationId xmlns:a16="http://schemas.microsoft.com/office/drawing/2014/main" id="{05C6F0E9-51C3-C3F1-4F69-15D64200B285}"/>
            </a:ext>
          </a:extLst>
        </xdr:cNvPr>
        <xdr:cNvSpPr/>
      </xdr:nvSpPr>
      <xdr:spPr>
        <a:xfrm>
          <a:off x="394448" y="4988859"/>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493058</xdr:colOff>
      <xdr:row>16</xdr:row>
      <xdr:rowOff>33618</xdr:rowOff>
    </xdr:from>
    <xdr:to>
      <xdr:col>4</xdr:col>
      <xdr:colOff>549087</xdr:colOff>
      <xdr:row>19</xdr:row>
      <xdr:rowOff>11207</xdr:rowOff>
    </xdr:to>
    <xdr:sp macro="" textlink="'Pivot Table'!T11">
      <xdr:nvSpPr>
        <xdr:cNvPr id="93" name="TextBox 92">
          <a:extLst>
            <a:ext uri="{FF2B5EF4-FFF2-40B4-BE49-F238E27FC236}">
              <a16:creationId xmlns:a16="http://schemas.microsoft.com/office/drawing/2014/main" id="{F57EA136-3D5B-1929-062C-D4D9D82AE429}"/>
            </a:ext>
          </a:extLst>
        </xdr:cNvPr>
        <xdr:cNvSpPr txBox="1"/>
      </xdr:nvSpPr>
      <xdr:spPr>
        <a:xfrm>
          <a:off x="2308411" y="3081618"/>
          <a:ext cx="661147" cy="54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B6ADC4-F93E-4A12-956B-9B36A6469BA8}" type="TxLink">
            <a:rPr lang="en-US" sz="3000" b="1" i="0" u="none" strike="noStrike">
              <a:solidFill>
                <a:srgbClr val="FFC107"/>
              </a:solidFill>
              <a:latin typeface="Calibri"/>
              <a:ea typeface="Calibri"/>
              <a:cs typeface="Calibri"/>
            </a:rPr>
            <a:pPr/>
            <a:t>12</a:t>
          </a:fld>
          <a:endParaRPr lang="en-US" sz="3000" b="1">
            <a:solidFill>
              <a:srgbClr val="FFC107"/>
            </a:solidFill>
          </a:endParaRPr>
        </a:p>
      </xdr:txBody>
    </xdr:sp>
    <xdr:clientData/>
  </xdr:twoCellAnchor>
  <xdr:twoCellAnchor>
    <xdr:from>
      <xdr:col>3</xdr:col>
      <xdr:colOff>493059</xdr:colOff>
      <xdr:row>18</xdr:row>
      <xdr:rowOff>89647</xdr:rowOff>
    </xdr:from>
    <xdr:to>
      <xdr:col>4</xdr:col>
      <xdr:colOff>593911</xdr:colOff>
      <xdr:row>21</xdr:row>
      <xdr:rowOff>67236</xdr:rowOff>
    </xdr:to>
    <xdr:sp macro="" textlink="'Pivot Table'!T12">
      <xdr:nvSpPr>
        <xdr:cNvPr id="94" name="TextBox 93">
          <a:extLst>
            <a:ext uri="{FF2B5EF4-FFF2-40B4-BE49-F238E27FC236}">
              <a16:creationId xmlns:a16="http://schemas.microsoft.com/office/drawing/2014/main" id="{E370AE87-91CE-AAEC-28EE-D56B35B3E963}"/>
            </a:ext>
          </a:extLst>
        </xdr:cNvPr>
        <xdr:cNvSpPr txBox="1"/>
      </xdr:nvSpPr>
      <xdr:spPr>
        <a:xfrm>
          <a:off x="2308412" y="3518647"/>
          <a:ext cx="705970" cy="549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7F66AB-4566-49DF-85FC-DBF9E6D06CDC}" type="TxLink">
            <a:rPr lang="en-US" sz="3000" b="1" i="0" u="none" strike="noStrike">
              <a:solidFill>
                <a:srgbClr val="FFC107"/>
              </a:solidFill>
              <a:latin typeface="Calibri"/>
              <a:ea typeface="Calibri"/>
              <a:cs typeface="Calibri"/>
            </a:rPr>
            <a:pPr marL="0" indent="0"/>
            <a:t>11</a:t>
          </a:fld>
          <a:endParaRPr lang="en-US" sz="3000" b="1" i="0" u="none" strike="noStrike">
            <a:solidFill>
              <a:srgbClr val="FFC107"/>
            </a:solidFill>
            <a:latin typeface="Calibri"/>
            <a:ea typeface="Calibri"/>
            <a:cs typeface="Calibri"/>
          </a:endParaRPr>
        </a:p>
      </xdr:txBody>
    </xdr:sp>
    <xdr:clientData/>
  </xdr:twoCellAnchor>
  <xdr:twoCellAnchor>
    <xdr:from>
      <xdr:col>3</xdr:col>
      <xdr:colOff>571500</xdr:colOff>
      <xdr:row>20</xdr:row>
      <xdr:rowOff>123265</xdr:rowOff>
    </xdr:from>
    <xdr:to>
      <xdr:col>4</xdr:col>
      <xdr:colOff>448235</xdr:colOff>
      <xdr:row>23</xdr:row>
      <xdr:rowOff>78442</xdr:rowOff>
    </xdr:to>
    <xdr:sp macro="" textlink="'Pivot Table'!T13">
      <xdr:nvSpPr>
        <xdr:cNvPr id="95" name="TextBox 94">
          <a:extLst>
            <a:ext uri="{FF2B5EF4-FFF2-40B4-BE49-F238E27FC236}">
              <a16:creationId xmlns:a16="http://schemas.microsoft.com/office/drawing/2014/main" id="{C2C6CC62-CD07-BD4A-5D6A-54D961EAC3D3}"/>
            </a:ext>
          </a:extLst>
        </xdr:cNvPr>
        <xdr:cNvSpPr txBox="1"/>
      </xdr:nvSpPr>
      <xdr:spPr>
        <a:xfrm>
          <a:off x="2386853" y="3933265"/>
          <a:ext cx="481853" cy="526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B46FF0A-96CC-495E-ACC8-78012CF3015D}" type="TxLink">
            <a:rPr lang="en-US" sz="3000" b="1" i="0" u="none" strike="noStrike">
              <a:solidFill>
                <a:srgbClr val="FFC107"/>
              </a:solidFill>
              <a:latin typeface="Calibri"/>
              <a:ea typeface="Calibri"/>
              <a:cs typeface="Calibri"/>
            </a:rPr>
            <a:pPr marL="0" indent="0"/>
            <a:t>7</a:t>
          </a:fld>
          <a:endParaRPr lang="en-US" sz="3000" b="1" i="0" u="none" strike="noStrike">
            <a:solidFill>
              <a:srgbClr val="FFC107"/>
            </a:solidFill>
            <a:latin typeface="Calibri"/>
            <a:ea typeface="Calibri"/>
            <a:cs typeface="Calibri"/>
          </a:endParaRPr>
        </a:p>
      </xdr:txBody>
    </xdr:sp>
    <xdr:clientData/>
  </xdr:twoCellAnchor>
  <xdr:twoCellAnchor>
    <xdr:from>
      <xdr:col>3</xdr:col>
      <xdr:colOff>515470</xdr:colOff>
      <xdr:row>24</xdr:row>
      <xdr:rowOff>179294</xdr:rowOff>
    </xdr:from>
    <xdr:to>
      <xdr:col>4</xdr:col>
      <xdr:colOff>392205</xdr:colOff>
      <xdr:row>27</xdr:row>
      <xdr:rowOff>168088</xdr:rowOff>
    </xdr:to>
    <xdr:sp macro="" textlink="'Pivot Table'!T15">
      <xdr:nvSpPr>
        <xdr:cNvPr id="99" name="TextBox 98">
          <a:extLst>
            <a:ext uri="{FF2B5EF4-FFF2-40B4-BE49-F238E27FC236}">
              <a16:creationId xmlns:a16="http://schemas.microsoft.com/office/drawing/2014/main" id="{0EEDCF82-16E9-6345-6DC6-E909EA935313}"/>
            </a:ext>
          </a:extLst>
        </xdr:cNvPr>
        <xdr:cNvSpPr txBox="1"/>
      </xdr:nvSpPr>
      <xdr:spPr>
        <a:xfrm>
          <a:off x="2330823" y="4751294"/>
          <a:ext cx="481853" cy="56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07F5121-9E1A-4979-A0A3-CD4F57ED9BC1}" type="TxLink">
            <a:rPr lang="en-US" sz="3000" b="1" i="0" u="none" strike="noStrike">
              <a:solidFill>
                <a:srgbClr val="FFC107"/>
              </a:solidFill>
              <a:latin typeface="Calibri"/>
              <a:ea typeface="Calibri"/>
              <a:cs typeface="Calibri"/>
            </a:rPr>
            <a:pPr marL="0" indent="0"/>
            <a:t>9</a:t>
          </a:fld>
          <a:endParaRPr lang="en-US" sz="3000" b="1" i="0" u="none" strike="noStrike">
            <a:solidFill>
              <a:srgbClr val="FFC107"/>
            </a:solidFill>
            <a:latin typeface="Calibri"/>
            <a:ea typeface="Calibri"/>
            <a:cs typeface="Calibri"/>
          </a:endParaRPr>
        </a:p>
      </xdr:txBody>
    </xdr:sp>
    <xdr:clientData/>
  </xdr:twoCellAnchor>
  <xdr:twoCellAnchor>
    <xdr:from>
      <xdr:col>3</xdr:col>
      <xdr:colOff>470646</xdr:colOff>
      <xdr:row>22</xdr:row>
      <xdr:rowOff>156882</xdr:rowOff>
    </xdr:from>
    <xdr:to>
      <xdr:col>4</xdr:col>
      <xdr:colOff>504263</xdr:colOff>
      <xdr:row>25</xdr:row>
      <xdr:rowOff>190499</xdr:rowOff>
    </xdr:to>
    <xdr:sp macro="" textlink="'Pivot Table'!T14">
      <xdr:nvSpPr>
        <xdr:cNvPr id="100" name="TextBox 99">
          <a:extLst>
            <a:ext uri="{FF2B5EF4-FFF2-40B4-BE49-F238E27FC236}">
              <a16:creationId xmlns:a16="http://schemas.microsoft.com/office/drawing/2014/main" id="{182D2D54-918E-DA29-E98C-B011CC826BD8}"/>
            </a:ext>
          </a:extLst>
        </xdr:cNvPr>
        <xdr:cNvSpPr txBox="1"/>
      </xdr:nvSpPr>
      <xdr:spPr>
        <a:xfrm>
          <a:off x="2285999" y="4347882"/>
          <a:ext cx="638735" cy="605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7525E8-D064-4FBC-A8D8-C2F8E3ABC5A7}" type="TxLink">
            <a:rPr lang="en-US" sz="3000" b="1" i="0" u="none" strike="noStrike">
              <a:solidFill>
                <a:srgbClr val="FFC107"/>
              </a:solidFill>
              <a:latin typeface="Calibri"/>
              <a:ea typeface="Calibri"/>
              <a:cs typeface="Calibri"/>
            </a:rPr>
            <a:pPr marL="0" indent="0"/>
            <a:t>11</a:t>
          </a:fld>
          <a:endParaRPr lang="en-US" sz="3000" b="1" i="0" u="none" strike="noStrike">
            <a:solidFill>
              <a:srgbClr val="FFC107"/>
            </a:solidFill>
            <a:latin typeface="Calibri"/>
            <a:ea typeface="Calibri"/>
            <a:cs typeface="Calibri"/>
          </a:endParaRPr>
        </a:p>
      </xdr:txBody>
    </xdr:sp>
    <xdr:clientData/>
  </xdr:twoCellAnchor>
  <xdr:twoCellAnchor>
    <xdr:from>
      <xdr:col>0</xdr:col>
      <xdr:colOff>549087</xdr:colOff>
      <xdr:row>11</xdr:row>
      <xdr:rowOff>67236</xdr:rowOff>
    </xdr:from>
    <xdr:to>
      <xdr:col>4</xdr:col>
      <xdr:colOff>123263</xdr:colOff>
      <xdr:row>17</xdr:row>
      <xdr:rowOff>100854</xdr:rowOff>
    </xdr:to>
    <xdr:sp macro="" textlink="">
      <xdr:nvSpPr>
        <xdr:cNvPr id="101" name="TextBox 100">
          <a:extLst>
            <a:ext uri="{FF2B5EF4-FFF2-40B4-BE49-F238E27FC236}">
              <a16:creationId xmlns:a16="http://schemas.microsoft.com/office/drawing/2014/main" id="{A6D2D85C-7C22-334E-21E0-2BB22C0256A6}"/>
            </a:ext>
          </a:extLst>
        </xdr:cNvPr>
        <xdr:cNvSpPr txBox="1"/>
      </xdr:nvSpPr>
      <xdr:spPr>
        <a:xfrm>
          <a:off x="549087" y="2162736"/>
          <a:ext cx="1994647" cy="1176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600" b="1">
              <a:solidFill>
                <a:srgbClr val="FFC107"/>
              </a:solidFill>
            </a:rPr>
            <a:t>Skill</a:t>
          </a:r>
          <a:r>
            <a:rPr lang="en-US" sz="2800" b="1">
              <a:solidFill>
                <a:srgbClr val="FFC107"/>
              </a:solidFill>
            </a:rPr>
            <a:t>   </a:t>
          </a:r>
        </a:p>
        <a:p>
          <a:r>
            <a:rPr lang="en-US" sz="2600" b="1">
              <a:solidFill>
                <a:srgbClr val="FFC107"/>
              </a:solidFill>
            </a:rPr>
            <a:t>BreakDown</a:t>
          </a:r>
        </a:p>
      </xdr:txBody>
    </xdr:sp>
    <xdr:clientData/>
  </xdr:twoCellAnchor>
  <xdr:twoCellAnchor editAs="oneCell">
    <xdr:from>
      <xdr:col>2</xdr:col>
      <xdr:colOff>100853</xdr:colOff>
      <xdr:row>7</xdr:row>
      <xdr:rowOff>89648</xdr:rowOff>
    </xdr:from>
    <xdr:to>
      <xdr:col>4</xdr:col>
      <xdr:colOff>259725</xdr:colOff>
      <xdr:row>14</xdr:row>
      <xdr:rowOff>134470</xdr:rowOff>
    </xdr:to>
    <xdr:pic>
      <xdr:nvPicPr>
        <xdr:cNvPr id="109" name="Picture 108" descr="Risk management Generic Gradient icon">
          <a:extLst>
            <a:ext uri="{FF2B5EF4-FFF2-40B4-BE49-F238E27FC236}">
              <a16:creationId xmlns:a16="http://schemas.microsoft.com/office/drawing/2014/main" id="{BDEF2CBE-E15F-507F-A487-75DB6EA04DE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11088" y="1423148"/>
          <a:ext cx="1369108" cy="1378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425824</xdr:colOff>
      <xdr:row>10</xdr:row>
      <xdr:rowOff>168088</xdr:rowOff>
    </xdr:from>
    <xdr:to>
      <xdr:col>7</xdr:col>
      <xdr:colOff>112058</xdr:colOff>
      <xdr:row>14</xdr:row>
      <xdr:rowOff>78442</xdr:rowOff>
    </xdr:to>
    <xdr:sp macro="" textlink="'Pivot Table'!N21">
      <xdr:nvSpPr>
        <xdr:cNvPr id="110" name="TextBox 109">
          <a:extLst>
            <a:ext uri="{FF2B5EF4-FFF2-40B4-BE49-F238E27FC236}">
              <a16:creationId xmlns:a16="http://schemas.microsoft.com/office/drawing/2014/main" id="{E40C2D2A-2FB6-A9A4-4781-D96FA9BFEA65}"/>
            </a:ext>
          </a:extLst>
        </xdr:cNvPr>
        <xdr:cNvSpPr txBox="1"/>
      </xdr:nvSpPr>
      <xdr:spPr>
        <a:xfrm>
          <a:off x="3451412" y="2073088"/>
          <a:ext cx="896470" cy="67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25A7C4-9C6B-42BF-943F-A41F1EC7360B}" type="TxLink">
            <a:rPr lang="en-US" sz="4200" b="1" i="0" u="none" strike="noStrike">
              <a:solidFill>
                <a:schemeClr val="bg1"/>
              </a:solidFill>
              <a:latin typeface="Calibri"/>
              <a:ea typeface="Calibri"/>
              <a:cs typeface="Calibri"/>
            </a:rPr>
            <a:pPr marL="0" indent="0"/>
            <a:t>50</a:t>
          </a:fld>
          <a:endParaRPr lang="en-US" sz="4200" b="1" i="0" u="none" strike="noStrike">
            <a:solidFill>
              <a:schemeClr val="bg1"/>
            </a:solidFill>
            <a:latin typeface="Calibri"/>
            <a:ea typeface="Calibri"/>
            <a:cs typeface="Calibri"/>
          </a:endParaRPr>
        </a:p>
      </xdr:txBody>
    </xdr:sp>
    <xdr:clientData/>
  </xdr:twoCellAnchor>
  <xdr:twoCellAnchor>
    <xdr:from>
      <xdr:col>5</xdr:col>
      <xdr:colOff>437030</xdr:colOff>
      <xdr:row>14</xdr:row>
      <xdr:rowOff>11204</xdr:rowOff>
    </xdr:from>
    <xdr:to>
      <xdr:col>9</xdr:col>
      <xdr:colOff>291353</xdr:colOff>
      <xdr:row>18</xdr:row>
      <xdr:rowOff>33618</xdr:rowOff>
    </xdr:to>
    <xdr:sp macro="" textlink="">
      <xdr:nvSpPr>
        <xdr:cNvPr id="111" name="TextBox 110">
          <a:extLst>
            <a:ext uri="{FF2B5EF4-FFF2-40B4-BE49-F238E27FC236}">
              <a16:creationId xmlns:a16="http://schemas.microsoft.com/office/drawing/2014/main" id="{CD5E3839-9F3A-85EB-6BF6-34543CCF691C}"/>
            </a:ext>
          </a:extLst>
        </xdr:cNvPr>
        <xdr:cNvSpPr txBox="1"/>
      </xdr:nvSpPr>
      <xdr:spPr>
        <a:xfrm>
          <a:off x="3462618" y="2678204"/>
          <a:ext cx="2274794" cy="784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bg2"/>
              </a:solidFill>
              <a:latin typeface="+mn-lt"/>
              <a:ea typeface="+mn-ea"/>
              <a:cs typeface="+mn-cs"/>
            </a:rPr>
            <a:t>Total Employees</a:t>
          </a:r>
        </a:p>
      </xdr:txBody>
    </xdr:sp>
    <xdr:clientData/>
  </xdr:twoCellAnchor>
  <xdr:twoCellAnchor editAs="oneCell">
    <xdr:from>
      <xdr:col>8</xdr:col>
      <xdr:colOff>246530</xdr:colOff>
      <xdr:row>7</xdr:row>
      <xdr:rowOff>168090</xdr:rowOff>
    </xdr:from>
    <xdr:to>
      <xdr:col>10</xdr:col>
      <xdr:colOff>392207</xdr:colOff>
      <xdr:row>16</xdr:row>
      <xdr:rowOff>4073</xdr:rowOff>
    </xdr:to>
    <xdr:pic>
      <xdr:nvPicPr>
        <xdr:cNvPr id="112" name="Picture 111" descr="Team Generic color lineal-color icon">
          <a:extLst>
            <a:ext uri="{FF2B5EF4-FFF2-40B4-BE49-F238E27FC236}">
              <a16:creationId xmlns:a16="http://schemas.microsoft.com/office/drawing/2014/main" id="{8F49F939-16B9-B2FB-133E-FBC6AC1E821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087471" y="1501590"/>
          <a:ext cx="1355912" cy="1545535"/>
        </a:xfrm>
        <a:prstGeom prst="rect">
          <a:avLst/>
        </a:prstGeom>
        <a:no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437028</xdr:colOff>
      <xdr:row>7</xdr:row>
      <xdr:rowOff>78439</xdr:rowOff>
    </xdr:from>
    <xdr:to>
      <xdr:col>9</xdr:col>
      <xdr:colOff>515468</xdr:colOff>
      <xdr:row>12</xdr:row>
      <xdr:rowOff>100853</xdr:rowOff>
    </xdr:to>
    <xdr:sp macro="" textlink="">
      <xdr:nvSpPr>
        <xdr:cNvPr id="114" name="TextBox 113">
          <a:extLst>
            <a:ext uri="{FF2B5EF4-FFF2-40B4-BE49-F238E27FC236}">
              <a16:creationId xmlns:a16="http://schemas.microsoft.com/office/drawing/2014/main" id="{E9626A99-6210-6082-5E90-1F5F0DD12EC6}"/>
            </a:ext>
          </a:extLst>
        </xdr:cNvPr>
        <xdr:cNvSpPr txBox="1"/>
      </xdr:nvSpPr>
      <xdr:spPr>
        <a:xfrm>
          <a:off x="3462616" y="1411939"/>
          <a:ext cx="2498911" cy="974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Employees </a:t>
          </a:r>
        </a:p>
        <a:p>
          <a:r>
            <a:rPr lang="en-US" sz="2200" b="1">
              <a:solidFill>
                <a:srgbClr val="FFC107"/>
              </a:solidFill>
              <a:latin typeface="+mn-lt"/>
              <a:ea typeface="+mn-ea"/>
              <a:cs typeface="+mn-cs"/>
            </a:rPr>
            <a:t>Number</a:t>
          </a:r>
        </a:p>
      </xdr:txBody>
    </xdr:sp>
    <xdr:clientData/>
  </xdr:twoCellAnchor>
  <xdr:twoCellAnchor>
    <xdr:from>
      <xdr:col>5</xdr:col>
      <xdr:colOff>300319</xdr:colOff>
      <xdr:row>8</xdr:row>
      <xdr:rowOff>53789</xdr:rowOff>
    </xdr:from>
    <xdr:to>
      <xdr:col>5</xdr:col>
      <xdr:colOff>445995</xdr:colOff>
      <xdr:row>9</xdr:row>
      <xdr:rowOff>20170</xdr:rowOff>
    </xdr:to>
    <xdr:sp macro="" textlink="">
      <xdr:nvSpPr>
        <xdr:cNvPr id="115" name="Flowchart: Connector 114">
          <a:extLst>
            <a:ext uri="{FF2B5EF4-FFF2-40B4-BE49-F238E27FC236}">
              <a16:creationId xmlns:a16="http://schemas.microsoft.com/office/drawing/2014/main" id="{0C113706-852F-41CC-A512-40D0B971BD55}"/>
            </a:ext>
          </a:extLst>
        </xdr:cNvPr>
        <xdr:cNvSpPr/>
      </xdr:nvSpPr>
      <xdr:spPr>
        <a:xfrm>
          <a:off x="3325907" y="1577789"/>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302559</xdr:colOff>
      <xdr:row>20</xdr:row>
      <xdr:rowOff>1</xdr:rowOff>
    </xdr:from>
    <xdr:to>
      <xdr:col>7</xdr:col>
      <xdr:colOff>347382</xdr:colOff>
      <xdr:row>26</xdr:row>
      <xdr:rowOff>1</xdr:rowOff>
    </xdr:to>
    <xdr:graphicFrame macro="">
      <xdr:nvGraphicFramePr>
        <xdr:cNvPr id="118" name="Chart 117">
          <a:extLst>
            <a:ext uri="{FF2B5EF4-FFF2-40B4-BE49-F238E27FC236}">
              <a16:creationId xmlns:a16="http://schemas.microsoft.com/office/drawing/2014/main" id="{364566C4-D715-4A19-A753-DE38C26E9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22413</xdr:colOff>
      <xdr:row>22</xdr:row>
      <xdr:rowOff>56031</xdr:rowOff>
    </xdr:from>
    <xdr:to>
      <xdr:col>7</xdr:col>
      <xdr:colOff>44823</xdr:colOff>
      <xdr:row>24</xdr:row>
      <xdr:rowOff>134470</xdr:rowOff>
    </xdr:to>
    <xdr:sp macro="" textlink="'Pivot Table'!O20">
      <xdr:nvSpPr>
        <xdr:cNvPr id="119" name="TextBox 118">
          <a:extLst>
            <a:ext uri="{FF2B5EF4-FFF2-40B4-BE49-F238E27FC236}">
              <a16:creationId xmlns:a16="http://schemas.microsoft.com/office/drawing/2014/main" id="{242EB4CE-E9FE-4485-2931-4047931C9C7A}"/>
            </a:ext>
          </a:extLst>
        </xdr:cNvPr>
        <xdr:cNvSpPr txBox="1"/>
      </xdr:nvSpPr>
      <xdr:spPr>
        <a:xfrm>
          <a:off x="3653119" y="4247031"/>
          <a:ext cx="627528" cy="45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8973CFE-E294-48B2-A231-47760A3F028F}" type="TxLink">
            <a:rPr lang="en-US" sz="1600" b="1" i="0" u="none" strike="noStrike">
              <a:solidFill>
                <a:schemeClr val="bg1"/>
              </a:solidFill>
              <a:latin typeface="Calibri"/>
              <a:ea typeface="Calibri"/>
              <a:cs typeface="Calibri"/>
            </a:rPr>
            <a:pPr marL="0" indent="0"/>
            <a:t>48%</a:t>
          </a:fld>
          <a:endParaRPr lang="en-US" sz="1600" b="1" i="0" u="none" strike="noStrike">
            <a:solidFill>
              <a:schemeClr val="bg1"/>
            </a:solidFill>
            <a:latin typeface="Calibri"/>
            <a:ea typeface="Calibri"/>
            <a:cs typeface="Calibri"/>
          </a:endParaRPr>
        </a:p>
      </xdr:txBody>
    </xdr:sp>
    <xdr:clientData/>
  </xdr:twoCellAnchor>
  <xdr:twoCellAnchor>
    <xdr:from>
      <xdr:col>8</xdr:col>
      <xdr:colOff>515471</xdr:colOff>
      <xdr:row>22</xdr:row>
      <xdr:rowOff>33620</xdr:rowOff>
    </xdr:from>
    <xdr:to>
      <xdr:col>9</xdr:col>
      <xdr:colOff>493059</xdr:colOff>
      <xdr:row>24</xdr:row>
      <xdr:rowOff>56030</xdr:rowOff>
    </xdr:to>
    <xdr:sp macro="" textlink="'Pivot Table'!O19">
      <xdr:nvSpPr>
        <xdr:cNvPr id="120" name="TextBox 119">
          <a:extLst>
            <a:ext uri="{FF2B5EF4-FFF2-40B4-BE49-F238E27FC236}">
              <a16:creationId xmlns:a16="http://schemas.microsoft.com/office/drawing/2014/main" id="{25C5090E-571D-A9FB-C241-3C693A464006}"/>
            </a:ext>
          </a:extLst>
        </xdr:cNvPr>
        <xdr:cNvSpPr txBox="1"/>
      </xdr:nvSpPr>
      <xdr:spPr>
        <a:xfrm>
          <a:off x="5356412" y="4224620"/>
          <a:ext cx="582706" cy="403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533638-150D-4D45-9383-75F25D75BD39}" type="TxLink">
            <a:rPr lang="en-US" sz="1600" b="1" i="0" u="none" strike="noStrike">
              <a:solidFill>
                <a:schemeClr val="bg1"/>
              </a:solidFill>
              <a:latin typeface="Calibri"/>
              <a:ea typeface="Calibri"/>
              <a:cs typeface="Calibri"/>
            </a:rPr>
            <a:pPr marL="0" indent="0"/>
            <a:t>52%</a:t>
          </a:fld>
          <a:endParaRPr lang="en-US" sz="1600" b="1" i="0" u="none" strike="noStrike">
            <a:solidFill>
              <a:schemeClr val="bg1"/>
            </a:solidFill>
            <a:latin typeface="Calibri"/>
            <a:ea typeface="Calibri"/>
            <a:cs typeface="Calibri"/>
          </a:endParaRPr>
        </a:p>
      </xdr:txBody>
    </xdr:sp>
    <xdr:clientData/>
  </xdr:twoCellAnchor>
  <xdr:twoCellAnchor>
    <xdr:from>
      <xdr:col>11</xdr:col>
      <xdr:colOff>448236</xdr:colOff>
      <xdr:row>27</xdr:row>
      <xdr:rowOff>112057</xdr:rowOff>
    </xdr:from>
    <xdr:to>
      <xdr:col>14</xdr:col>
      <xdr:colOff>414619</xdr:colOff>
      <xdr:row>30</xdr:row>
      <xdr:rowOff>156880</xdr:rowOff>
    </xdr:to>
    <xdr:sp macro="" textlink="">
      <xdr:nvSpPr>
        <xdr:cNvPr id="121" name="TextBox 120">
          <a:extLst>
            <a:ext uri="{FF2B5EF4-FFF2-40B4-BE49-F238E27FC236}">
              <a16:creationId xmlns:a16="http://schemas.microsoft.com/office/drawing/2014/main" id="{5D976145-9986-7983-674D-65518B50E543}"/>
            </a:ext>
          </a:extLst>
        </xdr:cNvPr>
        <xdr:cNvSpPr txBox="1"/>
      </xdr:nvSpPr>
      <xdr:spPr>
        <a:xfrm>
          <a:off x="7115736" y="5121960"/>
          <a:ext cx="1784792" cy="601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Salaries</a:t>
          </a:r>
        </a:p>
      </xdr:txBody>
    </xdr:sp>
    <xdr:clientData/>
  </xdr:twoCellAnchor>
  <xdr:twoCellAnchor>
    <xdr:from>
      <xdr:col>11</xdr:col>
      <xdr:colOff>212912</xdr:colOff>
      <xdr:row>12</xdr:row>
      <xdr:rowOff>78441</xdr:rowOff>
    </xdr:from>
    <xdr:to>
      <xdr:col>16</xdr:col>
      <xdr:colOff>268942</xdr:colOff>
      <xdr:row>24</xdr:row>
      <xdr:rowOff>156882</xdr:rowOff>
    </xdr:to>
    <xdr:graphicFrame macro="">
      <xdr:nvGraphicFramePr>
        <xdr:cNvPr id="122" name="Chart 121">
          <a:extLst>
            <a:ext uri="{FF2B5EF4-FFF2-40B4-BE49-F238E27FC236}">
              <a16:creationId xmlns:a16="http://schemas.microsoft.com/office/drawing/2014/main" id="{F3D2C9B8-F03B-444E-AE3C-A6707476A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437029</xdr:colOff>
      <xdr:row>7</xdr:row>
      <xdr:rowOff>168086</xdr:rowOff>
    </xdr:from>
    <xdr:to>
      <xdr:col>15</xdr:col>
      <xdr:colOff>112057</xdr:colOff>
      <xdr:row>11</xdr:row>
      <xdr:rowOff>112058</xdr:rowOff>
    </xdr:to>
    <xdr:sp macro="" textlink="">
      <xdr:nvSpPr>
        <xdr:cNvPr id="123" name="TextBox 122">
          <a:extLst>
            <a:ext uri="{FF2B5EF4-FFF2-40B4-BE49-F238E27FC236}">
              <a16:creationId xmlns:a16="http://schemas.microsoft.com/office/drawing/2014/main" id="{2D4FB988-C16E-C642-4933-4EAAF311711D}"/>
            </a:ext>
          </a:extLst>
        </xdr:cNvPr>
        <xdr:cNvSpPr txBox="1"/>
      </xdr:nvSpPr>
      <xdr:spPr>
        <a:xfrm>
          <a:off x="7093323" y="1501586"/>
          <a:ext cx="2095499" cy="70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Leave Traching</a:t>
          </a:r>
        </a:p>
      </xdr:txBody>
    </xdr:sp>
    <xdr:clientData/>
  </xdr:twoCellAnchor>
  <xdr:twoCellAnchor>
    <xdr:from>
      <xdr:col>11</xdr:col>
      <xdr:colOff>327213</xdr:colOff>
      <xdr:row>8</xdr:row>
      <xdr:rowOff>136712</xdr:rowOff>
    </xdr:from>
    <xdr:to>
      <xdr:col>11</xdr:col>
      <xdr:colOff>472889</xdr:colOff>
      <xdr:row>9</xdr:row>
      <xdr:rowOff>103093</xdr:rowOff>
    </xdr:to>
    <xdr:sp macro="" textlink="">
      <xdr:nvSpPr>
        <xdr:cNvPr id="126" name="Flowchart: Connector 125">
          <a:extLst>
            <a:ext uri="{FF2B5EF4-FFF2-40B4-BE49-F238E27FC236}">
              <a16:creationId xmlns:a16="http://schemas.microsoft.com/office/drawing/2014/main" id="{B8F879FB-5FD6-4B47-8841-C8110473158E}"/>
            </a:ext>
          </a:extLst>
        </xdr:cNvPr>
        <xdr:cNvSpPr/>
      </xdr:nvSpPr>
      <xdr:spPr>
        <a:xfrm>
          <a:off x="6983507" y="1660712"/>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549087</xdr:colOff>
      <xdr:row>29</xdr:row>
      <xdr:rowOff>89650</xdr:rowOff>
    </xdr:from>
    <xdr:to>
      <xdr:col>16</xdr:col>
      <xdr:colOff>515471</xdr:colOff>
      <xdr:row>31</xdr:row>
      <xdr:rowOff>134472</xdr:rowOff>
    </xdr:to>
    <xdr:sp macro="" textlink="">
      <xdr:nvSpPr>
        <xdr:cNvPr id="127" name="TextBox 126">
          <a:extLst>
            <a:ext uri="{FF2B5EF4-FFF2-40B4-BE49-F238E27FC236}">
              <a16:creationId xmlns:a16="http://schemas.microsoft.com/office/drawing/2014/main" id="{93DA6954-E9ED-F45B-284E-699EE06AF7B6}"/>
            </a:ext>
          </a:extLst>
        </xdr:cNvPr>
        <xdr:cNvSpPr txBox="1"/>
      </xdr:nvSpPr>
      <xdr:spPr>
        <a:xfrm>
          <a:off x="7205381" y="5614150"/>
          <a:ext cx="2991972" cy="425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lumMod val="75000"/>
                </a:schemeClr>
              </a:solidFill>
            </a:rPr>
            <a:t>Salart for each job </a:t>
          </a:r>
          <a:endParaRPr lang="en-US" sz="1600" b="1">
            <a:solidFill>
              <a:schemeClr val="bg1">
                <a:lumMod val="75000"/>
              </a:schemeClr>
            </a:solidFill>
            <a:latin typeface="+mn-lt"/>
            <a:ea typeface="+mn-ea"/>
            <a:cs typeface="+mn-cs"/>
          </a:endParaRPr>
        </a:p>
      </xdr:txBody>
    </xdr:sp>
    <xdr:clientData/>
  </xdr:twoCellAnchor>
  <xdr:twoCellAnchor>
    <xdr:from>
      <xdr:col>17</xdr:col>
      <xdr:colOff>168087</xdr:colOff>
      <xdr:row>15</xdr:row>
      <xdr:rowOff>89646</xdr:rowOff>
    </xdr:from>
    <xdr:to>
      <xdr:col>22</xdr:col>
      <xdr:colOff>593912</xdr:colOff>
      <xdr:row>24</xdr:row>
      <xdr:rowOff>89647</xdr:rowOff>
    </xdr:to>
    <xdr:graphicFrame macro="">
      <xdr:nvGraphicFramePr>
        <xdr:cNvPr id="128" name="Chart 127">
          <a:extLst>
            <a:ext uri="{FF2B5EF4-FFF2-40B4-BE49-F238E27FC236}">
              <a16:creationId xmlns:a16="http://schemas.microsoft.com/office/drawing/2014/main" id="{D0C3573C-2E22-4953-A589-D58DC3234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302558</xdr:colOff>
      <xdr:row>12</xdr:row>
      <xdr:rowOff>89645</xdr:rowOff>
    </xdr:from>
    <xdr:to>
      <xdr:col>20</xdr:col>
      <xdr:colOff>582704</xdr:colOff>
      <xdr:row>16</xdr:row>
      <xdr:rowOff>33617</xdr:rowOff>
    </xdr:to>
    <xdr:sp macro="" textlink="">
      <xdr:nvSpPr>
        <xdr:cNvPr id="129" name="TextBox 128">
          <a:extLst>
            <a:ext uri="{FF2B5EF4-FFF2-40B4-BE49-F238E27FC236}">
              <a16:creationId xmlns:a16="http://schemas.microsoft.com/office/drawing/2014/main" id="{EEA3F22E-1A07-7054-81B5-94F51185109D}"/>
            </a:ext>
          </a:extLst>
        </xdr:cNvPr>
        <xdr:cNvSpPr txBox="1"/>
      </xdr:nvSpPr>
      <xdr:spPr>
        <a:xfrm>
          <a:off x="10589558" y="2375645"/>
          <a:ext cx="2095499" cy="70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Regions</a:t>
          </a:r>
        </a:p>
      </xdr:txBody>
    </xdr:sp>
    <xdr:clientData/>
  </xdr:twoCellAnchor>
  <xdr:twoCellAnchor>
    <xdr:from>
      <xdr:col>17</xdr:col>
      <xdr:colOff>188259</xdr:colOff>
      <xdr:row>13</xdr:row>
      <xdr:rowOff>53788</xdr:rowOff>
    </xdr:from>
    <xdr:to>
      <xdr:col>17</xdr:col>
      <xdr:colOff>333935</xdr:colOff>
      <xdr:row>14</xdr:row>
      <xdr:rowOff>20169</xdr:rowOff>
    </xdr:to>
    <xdr:sp macro="" textlink="">
      <xdr:nvSpPr>
        <xdr:cNvPr id="130" name="Flowchart: Connector 129">
          <a:extLst>
            <a:ext uri="{FF2B5EF4-FFF2-40B4-BE49-F238E27FC236}">
              <a16:creationId xmlns:a16="http://schemas.microsoft.com/office/drawing/2014/main" id="{6C176D4B-CB20-45D5-ACD6-00F6233E703B}"/>
            </a:ext>
          </a:extLst>
        </xdr:cNvPr>
        <xdr:cNvSpPr/>
      </xdr:nvSpPr>
      <xdr:spPr>
        <a:xfrm>
          <a:off x="10475259" y="2530288"/>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392204</xdr:colOff>
      <xdr:row>14</xdr:row>
      <xdr:rowOff>3</xdr:rowOff>
    </xdr:from>
    <xdr:to>
      <xdr:col>22</xdr:col>
      <xdr:colOff>358588</xdr:colOff>
      <xdr:row>16</xdr:row>
      <xdr:rowOff>44825</xdr:rowOff>
    </xdr:to>
    <xdr:sp macro="" textlink="">
      <xdr:nvSpPr>
        <xdr:cNvPr id="131" name="TextBox 130">
          <a:extLst>
            <a:ext uri="{FF2B5EF4-FFF2-40B4-BE49-F238E27FC236}">
              <a16:creationId xmlns:a16="http://schemas.microsoft.com/office/drawing/2014/main" id="{9AA547E6-FF82-688A-DC63-7AB41217889C}"/>
            </a:ext>
          </a:extLst>
        </xdr:cNvPr>
        <xdr:cNvSpPr txBox="1"/>
      </xdr:nvSpPr>
      <xdr:spPr>
        <a:xfrm>
          <a:off x="10679204" y="2667003"/>
          <a:ext cx="2991972" cy="425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lumMod val="75000"/>
                </a:schemeClr>
              </a:solidFill>
            </a:rPr>
            <a:t>Employees per Region</a:t>
          </a:r>
          <a:endParaRPr lang="en-US" sz="1600" b="1">
            <a:solidFill>
              <a:schemeClr val="bg1">
                <a:lumMod val="75000"/>
              </a:schemeClr>
            </a:solidFill>
            <a:latin typeface="+mn-lt"/>
            <a:ea typeface="+mn-ea"/>
            <a:cs typeface="+mn-cs"/>
          </a:endParaRPr>
        </a:p>
      </xdr:txBody>
    </xdr:sp>
    <xdr:clientData/>
  </xdr:twoCellAnchor>
  <xdr:twoCellAnchor>
    <xdr:from>
      <xdr:col>17</xdr:col>
      <xdr:colOff>381001</xdr:colOff>
      <xdr:row>3</xdr:row>
      <xdr:rowOff>179294</xdr:rowOff>
    </xdr:from>
    <xdr:to>
      <xdr:col>19</xdr:col>
      <xdr:colOff>67236</xdr:colOff>
      <xdr:row>7</xdr:row>
      <xdr:rowOff>89648</xdr:rowOff>
    </xdr:to>
    <xdr:sp macro="" textlink="'Pivot Table'!L38">
      <xdr:nvSpPr>
        <xdr:cNvPr id="132" name="TextBox 131">
          <a:extLst>
            <a:ext uri="{FF2B5EF4-FFF2-40B4-BE49-F238E27FC236}">
              <a16:creationId xmlns:a16="http://schemas.microsoft.com/office/drawing/2014/main" id="{B87D10E6-E620-7972-7833-8FB58774D5E2}"/>
            </a:ext>
          </a:extLst>
        </xdr:cNvPr>
        <xdr:cNvSpPr txBox="1"/>
      </xdr:nvSpPr>
      <xdr:spPr>
        <a:xfrm>
          <a:off x="10668001" y="750794"/>
          <a:ext cx="896470" cy="67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9B9786F-85BB-4D8D-8F1D-C7395758E4CE}" type="TxLink">
            <a:rPr lang="en-US" sz="4200" b="1" i="0" u="none" strike="noStrike">
              <a:solidFill>
                <a:schemeClr val="bg1"/>
              </a:solidFill>
              <a:latin typeface="Calibri"/>
              <a:ea typeface="Calibri"/>
              <a:cs typeface="Calibri"/>
            </a:rPr>
            <a:pPr marL="0" indent="0"/>
            <a:t>2.6</a:t>
          </a:fld>
          <a:endParaRPr lang="en-US" sz="4200" b="1" i="0" u="none" strike="noStrike">
            <a:solidFill>
              <a:schemeClr val="bg1"/>
            </a:solidFill>
            <a:latin typeface="Calibri"/>
            <a:ea typeface="Calibri"/>
            <a:cs typeface="Calibri"/>
          </a:endParaRPr>
        </a:p>
      </xdr:txBody>
    </xdr:sp>
    <xdr:clientData/>
  </xdr:twoCellAnchor>
  <xdr:twoCellAnchor>
    <xdr:from>
      <xdr:col>17</xdr:col>
      <xdr:colOff>324972</xdr:colOff>
      <xdr:row>7</xdr:row>
      <xdr:rowOff>112058</xdr:rowOff>
    </xdr:from>
    <xdr:to>
      <xdr:col>21</xdr:col>
      <xdr:colOff>179295</xdr:colOff>
      <xdr:row>11</xdr:row>
      <xdr:rowOff>134472</xdr:rowOff>
    </xdr:to>
    <xdr:sp macro="" textlink="">
      <xdr:nvSpPr>
        <xdr:cNvPr id="133" name="TextBox 132">
          <a:extLst>
            <a:ext uri="{FF2B5EF4-FFF2-40B4-BE49-F238E27FC236}">
              <a16:creationId xmlns:a16="http://schemas.microsoft.com/office/drawing/2014/main" id="{C86B857F-2235-A11F-4A2A-3C755125009E}"/>
            </a:ext>
          </a:extLst>
        </xdr:cNvPr>
        <xdr:cNvSpPr txBox="1"/>
      </xdr:nvSpPr>
      <xdr:spPr>
        <a:xfrm>
          <a:off x="10611972" y="1445558"/>
          <a:ext cx="2274794" cy="784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bg2"/>
              </a:solidFill>
              <a:latin typeface="+mn-lt"/>
              <a:ea typeface="+mn-ea"/>
              <a:cs typeface="+mn-cs"/>
            </a:rPr>
            <a:t>Average Rating </a:t>
          </a:r>
        </a:p>
      </xdr:txBody>
    </xdr:sp>
    <xdr:clientData/>
  </xdr:twoCellAnchor>
  <xdr:twoCellAnchor editAs="oneCell">
    <xdr:from>
      <xdr:col>20</xdr:col>
      <xdr:colOff>291353</xdr:colOff>
      <xdr:row>3</xdr:row>
      <xdr:rowOff>156881</xdr:rowOff>
    </xdr:from>
    <xdr:to>
      <xdr:col>22</xdr:col>
      <xdr:colOff>593912</xdr:colOff>
      <xdr:row>10</xdr:row>
      <xdr:rowOff>78441</xdr:rowOff>
    </xdr:to>
    <xdr:pic>
      <xdr:nvPicPr>
        <xdr:cNvPr id="137" name="Picture 136" descr="Progress icon">
          <a:hlinkClick xmlns:r="http://schemas.openxmlformats.org/officeDocument/2006/relationships" r:id="rId11"/>
          <a:extLst>
            <a:ext uri="{FF2B5EF4-FFF2-40B4-BE49-F238E27FC236}">
              <a16:creationId xmlns:a16="http://schemas.microsoft.com/office/drawing/2014/main" id="{9D513954-E455-1B40-917A-F68B637727B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393706" y="728381"/>
          <a:ext cx="1512794" cy="1255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381000</xdr:colOff>
      <xdr:row>1</xdr:row>
      <xdr:rowOff>33614</xdr:rowOff>
    </xdr:from>
    <xdr:to>
      <xdr:col>22</xdr:col>
      <xdr:colOff>392207</xdr:colOff>
      <xdr:row>4</xdr:row>
      <xdr:rowOff>179293</xdr:rowOff>
    </xdr:to>
    <xdr:sp macro="" textlink="">
      <xdr:nvSpPr>
        <xdr:cNvPr id="138" name="TextBox 137">
          <a:extLst>
            <a:ext uri="{FF2B5EF4-FFF2-40B4-BE49-F238E27FC236}">
              <a16:creationId xmlns:a16="http://schemas.microsoft.com/office/drawing/2014/main" id="{602EE6FC-5961-91F0-7661-3BA8D49AE321}"/>
            </a:ext>
          </a:extLst>
        </xdr:cNvPr>
        <xdr:cNvSpPr txBox="1"/>
      </xdr:nvSpPr>
      <xdr:spPr>
        <a:xfrm>
          <a:off x="10668000" y="224114"/>
          <a:ext cx="3036795" cy="71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Performance Rating</a:t>
          </a:r>
        </a:p>
      </xdr:txBody>
    </xdr:sp>
    <xdr:clientData/>
  </xdr:twoCellAnchor>
  <xdr:twoCellAnchor>
    <xdr:from>
      <xdr:col>17</xdr:col>
      <xdr:colOff>251012</xdr:colOff>
      <xdr:row>2</xdr:row>
      <xdr:rowOff>4483</xdr:rowOff>
    </xdr:from>
    <xdr:to>
      <xdr:col>17</xdr:col>
      <xdr:colOff>396688</xdr:colOff>
      <xdr:row>2</xdr:row>
      <xdr:rowOff>161364</xdr:rowOff>
    </xdr:to>
    <xdr:sp macro="" textlink="">
      <xdr:nvSpPr>
        <xdr:cNvPr id="139" name="Flowchart: Connector 138">
          <a:extLst>
            <a:ext uri="{FF2B5EF4-FFF2-40B4-BE49-F238E27FC236}">
              <a16:creationId xmlns:a16="http://schemas.microsoft.com/office/drawing/2014/main" id="{426E43F7-50BA-4D79-BACB-CA0540025030}"/>
            </a:ext>
          </a:extLst>
        </xdr:cNvPr>
        <xdr:cNvSpPr/>
      </xdr:nvSpPr>
      <xdr:spPr>
        <a:xfrm>
          <a:off x="10538012" y="385483"/>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308671</xdr:colOff>
      <xdr:row>1</xdr:row>
      <xdr:rowOff>71806</xdr:rowOff>
    </xdr:from>
    <xdr:to>
      <xdr:col>11</xdr:col>
      <xdr:colOff>230678</xdr:colOff>
      <xdr:row>6</xdr:row>
      <xdr:rowOff>61850</xdr:rowOff>
    </xdr:to>
    <mc:AlternateContent xmlns:mc="http://schemas.openxmlformats.org/markup-compatibility/2006" xmlns:a14="http://schemas.microsoft.com/office/drawing/2010/main">
      <mc:Choice Requires="a14">
        <xdr:graphicFrame macro="">
          <xdr:nvGraphicFramePr>
            <xdr:cNvPr id="140" name="Gender">
              <a:extLst>
                <a:ext uri="{FF2B5EF4-FFF2-40B4-BE49-F238E27FC236}">
                  <a16:creationId xmlns:a16="http://schemas.microsoft.com/office/drawing/2014/main" id="{1D26708C-832F-483C-9607-CCA4DA0193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57762" y="257358"/>
              <a:ext cx="1740416" cy="917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235659</xdr:colOff>
      <xdr:row>1</xdr:row>
      <xdr:rowOff>49481</xdr:rowOff>
    </xdr:from>
    <xdr:to>
      <xdr:col>16</xdr:col>
      <xdr:colOff>588257</xdr:colOff>
      <xdr:row>7</xdr:row>
      <xdr:rowOff>37111</xdr:rowOff>
    </xdr:to>
    <mc:AlternateContent xmlns:mc="http://schemas.openxmlformats.org/markup-compatibility/2006" xmlns:a14="http://schemas.microsoft.com/office/drawing/2010/main">
      <mc:Choice Requires="a14">
        <xdr:graphicFrame macro="">
          <xdr:nvGraphicFramePr>
            <xdr:cNvPr id="141" name="Department">
              <a:extLst>
                <a:ext uri="{FF2B5EF4-FFF2-40B4-BE49-F238E27FC236}">
                  <a16:creationId xmlns:a16="http://schemas.microsoft.com/office/drawing/2014/main" id="{13F1B0C4-5CEB-436E-917B-6CAAC58AF4D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903159" y="235033"/>
              <a:ext cx="3383280" cy="1100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549088</xdr:colOff>
      <xdr:row>19</xdr:row>
      <xdr:rowOff>22410</xdr:rowOff>
    </xdr:from>
    <xdr:to>
      <xdr:col>10</xdr:col>
      <xdr:colOff>358589</xdr:colOff>
      <xdr:row>27</xdr:row>
      <xdr:rowOff>11205</xdr:rowOff>
    </xdr:to>
    <xdr:graphicFrame macro="">
      <xdr:nvGraphicFramePr>
        <xdr:cNvPr id="142" name="Chart 141">
          <a:extLst>
            <a:ext uri="{FF2B5EF4-FFF2-40B4-BE49-F238E27FC236}">
              <a16:creationId xmlns:a16="http://schemas.microsoft.com/office/drawing/2014/main" id="{11CFC07A-60C7-4E41-87C0-E14BBA93E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145679</xdr:colOff>
      <xdr:row>19</xdr:row>
      <xdr:rowOff>78442</xdr:rowOff>
    </xdr:from>
    <xdr:to>
      <xdr:col>7</xdr:col>
      <xdr:colOff>358589</xdr:colOff>
      <xdr:row>27</xdr:row>
      <xdr:rowOff>0</xdr:rowOff>
    </xdr:to>
    <xdr:graphicFrame macro="">
      <xdr:nvGraphicFramePr>
        <xdr:cNvPr id="143" name="Chart 142">
          <a:extLst>
            <a:ext uri="{FF2B5EF4-FFF2-40B4-BE49-F238E27FC236}">
              <a16:creationId xmlns:a16="http://schemas.microsoft.com/office/drawing/2014/main" id="{166946D1-29B3-44F7-89BB-15C30305B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537883</xdr:colOff>
      <xdr:row>0</xdr:row>
      <xdr:rowOff>22412</xdr:rowOff>
    </xdr:from>
    <xdr:to>
      <xdr:col>9</xdr:col>
      <xdr:colOff>395844</xdr:colOff>
      <xdr:row>7</xdr:row>
      <xdr:rowOff>12370</xdr:rowOff>
    </xdr:to>
    <xdr:sp macro="" textlink="">
      <xdr:nvSpPr>
        <xdr:cNvPr id="147" name="TextBox 146">
          <a:extLst>
            <a:ext uri="{FF2B5EF4-FFF2-40B4-BE49-F238E27FC236}">
              <a16:creationId xmlns:a16="http://schemas.microsoft.com/office/drawing/2014/main" id="{220D5AE2-5646-8FC2-1D55-8AA19F0CA538}"/>
            </a:ext>
          </a:extLst>
        </xdr:cNvPr>
        <xdr:cNvSpPr txBox="1"/>
      </xdr:nvSpPr>
      <xdr:spPr>
        <a:xfrm>
          <a:off x="1750156" y="22412"/>
          <a:ext cx="4100915" cy="1288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000" b="1">
              <a:solidFill>
                <a:srgbClr val="FFC107"/>
              </a:solidFill>
              <a:latin typeface="+mn-lt"/>
              <a:ea typeface="+mn-ea"/>
              <a:cs typeface="+mn-cs"/>
            </a:rPr>
            <a:t>HR</a:t>
          </a:r>
        </a:p>
        <a:p>
          <a:pPr algn="l"/>
          <a:r>
            <a:rPr lang="en-US" sz="3000" b="1">
              <a:solidFill>
                <a:srgbClr val="FFC107"/>
              </a:solidFill>
              <a:latin typeface="+mn-lt"/>
              <a:ea typeface="+mn-ea"/>
              <a:cs typeface="+mn-cs"/>
            </a:rPr>
            <a:t>Dashboard</a:t>
          </a:r>
        </a:p>
        <a:p>
          <a:pPr algn="l"/>
          <a:r>
            <a:rPr lang="en-US" sz="1600" b="1">
              <a:solidFill>
                <a:schemeClr val="bg1">
                  <a:lumMod val="75000"/>
                </a:schemeClr>
              </a:solidFill>
              <a:latin typeface="+mn-lt"/>
              <a:ea typeface="+mn-ea"/>
              <a:cs typeface="+mn-cs"/>
            </a:rPr>
            <a:t>Analyze</a:t>
          </a:r>
          <a:r>
            <a:rPr lang="en-US" sz="1600" b="1" baseline="0">
              <a:solidFill>
                <a:schemeClr val="bg1">
                  <a:lumMod val="75000"/>
                </a:schemeClr>
              </a:solidFill>
              <a:latin typeface="+mn-lt"/>
              <a:ea typeface="+mn-ea"/>
              <a:cs typeface="+mn-cs"/>
            </a:rPr>
            <a:t> and monitor the HR department</a:t>
          </a:r>
          <a:endParaRPr lang="en-US" sz="1600" b="1">
            <a:solidFill>
              <a:schemeClr val="bg1">
                <a:lumMod val="75000"/>
              </a:schemeClr>
            </a:solidFill>
            <a:latin typeface="+mn-lt"/>
            <a:ea typeface="+mn-ea"/>
            <a:cs typeface="+mn-cs"/>
          </a:endParaRPr>
        </a:p>
      </xdr:txBody>
    </xdr:sp>
    <xdr:clientData/>
  </xdr:twoCellAnchor>
  <xdr:twoCellAnchor>
    <xdr:from>
      <xdr:col>23</xdr:col>
      <xdr:colOff>306923</xdr:colOff>
      <xdr:row>0</xdr:row>
      <xdr:rowOff>150333</xdr:rowOff>
    </xdr:from>
    <xdr:to>
      <xdr:col>30</xdr:col>
      <xdr:colOff>371104</xdr:colOff>
      <xdr:row>12</xdr:row>
      <xdr:rowOff>123701</xdr:rowOff>
    </xdr:to>
    <xdr:sp macro="" textlink="">
      <xdr:nvSpPr>
        <xdr:cNvPr id="20" name="Rectangle: Rounded Corners 19">
          <a:extLst>
            <a:ext uri="{FF2B5EF4-FFF2-40B4-BE49-F238E27FC236}">
              <a16:creationId xmlns:a16="http://schemas.microsoft.com/office/drawing/2014/main" id="{4A241BC1-BF68-CB9B-00CF-62D1DC2274FA}"/>
            </a:ext>
          </a:extLst>
        </xdr:cNvPr>
        <xdr:cNvSpPr/>
      </xdr:nvSpPr>
      <xdr:spPr>
        <a:xfrm>
          <a:off x="14248059" y="150333"/>
          <a:ext cx="4034993" cy="2199991"/>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306923</xdr:colOff>
      <xdr:row>13</xdr:row>
      <xdr:rowOff>98961</xdr:rowOff>
    </xdr:from>
    <xdr:to>
      <xdr:col>30</xdr:col>
      <xdr:colOff>395844</xdr:colOff>
      <xdr:row>26</xdr:row>
      <xdr:rowOff>173181</xdr:rowOff>
    </xdr:to>
    <xdr:sp macro="" textlink="">
      <xdr:nvSpPr>
        <xdr:cNvPr id="22" name="Rectangle: Rounded Corners 21">
          <a:extLst>
            <a:ext uri="{FF2B5EF4-FFF2-40B4-BE49-F238E27FC236}">
              <a16:creationId xmlns:a16="http://schemas.microsoft.com/office/drawing/2014/main" id="{2F4BACEE-CC16-9E8D-57A7-7374F34FC361}"/>
            </a:ext>
          </a:extLst>
        </xdr:cNvPr>
        <xdr:cNvSpPr/>
      </xdr:nvSpPr>
      <xdr:spPr>
        <a:xfrm>
          <a:off x="14248059" y="2511136"/>
          <a:ext cx="4059733" cy="2486396"/>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306923</xdr:colOff>
      <xdr:row>27</xdr:row>
      <xdr:rowOff>123701</xdr:rowOff>
    </xdr:from>
    <xdr:to>
      <xdr:col>30</xdr:col>
      <xdr:colOff>408214</xdr:colOff>
      <xdr:row>45</xdr:row>
      <xdr:rowOff>86591</xdr:rowOff>
    </xdr:to>
    <xdr:sp macro="" textlink="">
      <xdr:nvSpPr>
        <xdr:cNvPr id="37" name="Rectangle: Rounded Corners 36">
          <a:extLst>
            <a:ext uri="{FF2B5EF4-FFF2-40B4-BE49-F238E27FC236}">
              <a16:creationId xmlns:a16="http://schemas.microsoft.com/office/drawing/2014/main" id="{183A3FAF-4809-4710-6F6A-3B3CCEB2761F}"/>
            </a:ext>
          </a:extLst>
        </xdr:cNvPr>
        <xdr:cNvSpPr/>
      </xdr:nvSpPr>
      <xdr:spPr>
        <a:xfrm>
          <a:off x="14248059" y="5133604"/>
          <a:ext cx="4072103" cy="3302825"/>
        </a:xfrm>
        <a:prstGeom prst="roundRect">
          <a:avLst/>
        </a:prstGeom>
        <a:gradFill flip="none" rotWithShape="1">
          <a:gsLst>
            <a:gs pos="0">
              <a:srgbClr val="333554">
                <a:shade val="30000"/>
                <a:satMod val="115000"/>
              </a:srgbClr>
            </a:gs>
            <a:gs pos="50000">
              <a:srgbClr val="333554">
                <a:shade val="67500"/>
                <a:satMod val="115000"/>
              </a:srgbClr>
            </a:gs>
            <a:gs pos="100000">
              <a:srgbClr val="333554">
                <a:shade val="100000"/>
                <a:satMod val="115000"/>
              </a:srgb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86592</xdr:colOff>
      <xdr:row>31</xdr:row>
      <xdr:rowOff>49481</xdr:rowOff>
    </xdr:from>
    <xdr:to>
      <xdr:col>30</xdr:col>
      <xdr:colOff>259774</xdr:colOff>
      <xdr:row>44</xdr:row>
      <xdr:rowOff>37110</xdr:rowOff>
    </xdr:to>
    <xdr:graphicFrame macro="">
      <xdr:nvGraphicFramePr>
        <xdr:cNvPr id="3" name="Chart 2">
          <a:extLst>
            <a:ext uri="{FF2B5EF4-FFF2-40B4-BE49-F238E27FC236}">
              <a16:creationId xmlns:a16="http://schemas.microsoft.com/office/drawing/2014/main" id="{DC4079E4-9CEC-4974-95B9-6955A4BF6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386385</xdr:colOff>
      <xdr:row>27</xdr:row>
      <xdr:rowOff>149167</xdr:rowOff>
    </xdr:from>
    <xdr:to>
      <xdr:col>27</xdr:col>
      <xdr:colOff>352768</xdr:colOff>
      <xdr:row>30</xdr:row>
      <xdr:rowOff>160812</xdr:rowOff>
    </xdr:to>
    <xdr:sp macro="" textlink="">
      <xdr:nvSpPr>
        <xdr:cNvPr id="5" name="TextBox 4">
          <a:extLst>
            <a:ext uri="{FF2B5EF4-FFF2-40B4-BE49-F238E27FC236}">
              <a16:creationId xmlns:a16="http://schemas.microsoft.com/office/drawing/2014/main" id="{A3C8A30E-DF9A-A0E7-62B8-597E6CE0A8D1}"/>
            </a:ext>
          </a:extLst>
        </xdr:cNvPr>
        <xdr:cNvSpPr txBox="1"/>
      </xdr:nvSpPr>
      <xdr:spPr>
        <a:xfrm>
          <a:off x="14661515" y="5159070"/>
          <a:ext cx="1784792" cy="5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Insurance</a:t>
          </a:r>
        </a:p>
      </xdr:txBody>
    </xdr:sp>
    <xdr:clientData/>
  </xdr:twoCellAnchor>
  <xdr:twoCellAnchor>
    <xdr:from>
      <xdr:col>24</xdr:col>
      <xdr:colOff>236226</xdr:colOff>
      <xdr:row>28</xdr:row>
      <xdr:rowOff>135955</xdr:rowOff>
    </xdr:from>
    <xdr:to>
      <xdr:col>24</xdr:col>
      <xdr:colOff>381902</xdr:colOff>
      <xdr:row>29</xdr:row>
      <xdr:rowOff>102336</xdr:rowOff>
    </xdr:to>
    <xdr:sp macro="" textlink="">
      <xdr:nvSpPr>
        <xdr:cNvPr id="18" name="Flowchart: Connector 17">
          <a:extLst>
            <a:ext uri="{FF2B5EF4-FFF2-40B4-BE49-F238E27FC236}">
              <a16:creationId xmlns:a16="http://schemas.microsoft.com/office/drawing/2014/main" id="{F0A6732C-167D-4B97-8518-F3AEBFFB0568}"/>
            </a:ext>
          </a:extLst>
        </xdr:cNvPr>
        <xdr:cNvSpPr/>
      </xdr:nvSpPr>
      <xdr:spPr>
        <a:xfrm>
          <a:off x="14511356" y="5331410"/>
          <a:ext cx="145676" cy="151932"/>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393805</xdr:colOff>
      <xdr:row>29</xdr:row>
      <xdr:rowOff>78442</xdr:rowOff>
    </xdr:from>
    <xdr:to>
      <xdr:col>29</xdr:col>
      <xdr:colOff>550688</xdr:colOff>
      <xdr:row>33</xdr:row>
      <xdr:rowOff>56030</xdr:rowOff>
    </xdr:to>
    <xdr:sp macro="" textlink="">
      <xdr:nvSpPr>
        <xdr:cNvPr id="21" name="TextBox 20">
          <a:extLst>
            <a:ext uri="{FF2B5EF4-FFF2-40B4-BE49-F238E27FC236}">
              <a16:creationId xmlns:a16="http://schemas.microsoft.com/office/drawing/2014/main" id="{D7FF7B68-6D04-4610-8911-85CD5178171D}"/>
            </a:ext>
          </a:extLst>
        </xdr:cNvPr>
        <xdr:cNvSpPr txBox="1"/>
      </xdr:nvSpPr>
      <xdr:spPr>
        <a:xfrm>
          <a:off x="14668935" y="5459448"/>
          <a:ext cx="3187565" cy="719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lumMod val="75000"/>
                </a:schemeClr>
              </a:solidFill>
              <a:latin typeface="+mn-lt"/>
              <a:ea typeface="+mn-ea"/>
              <a:cs typeface="+mn-cs"/>
            </a:rPr>
            <a:t>Insurance Details For Employees</a:t>
          </a:r>
        </a:p>
      </xdr:txBody>
    </xdr:sp>
    <xdr:clientData/>
  </xdr:twoCellAnchor>
  <xdr:twoCellAnchor>
    <xdr:from>
      <xdr:col>24</xdr:col>
      <xdr:colOff>148441</xdr:colOff>
      <xdr:row>17</xdr:row>
      <xdr:rowOff>49480</xdr:rowOff>
    </xdr:from>
    <xdr:to>
      <xdr:col>30</xdr:col>
      <xdr:colOff>173182</xdr:colOff>
      <xdr:row>26</xdr:row>
      <xdr:rowOff>74220</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F36D6AC8-9D47-4A99-B3F3-9603FDD275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4502616" y="3287980"/>
              <a:ext cx="3682341" cy="1739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386385</xdr:colOff>
      <xdr:row>13</xdr:row>
      <xdr:rowOff>87316</xdr:rowOff>
    </xdr:from>
    <xdr:to>
      <xdr:col>27</xdr:col>
      <xdr:colOff>352768</xdr:colOff>
      <xdr:row>15</xdr:row>
      <xdr:rowOff>148441</xdr:rowOff>
    </xdr:to>
    <xdr:sp macro="" textlink="">
      <xdr:nvSpPr>
        <xdr:cNvPr id="51" name="TextBox 50">
          <a:extLst>
            <a:ext uri="{FF2B5EF4-FFF2-40B4-BE49-F238E27FC236}">
              <a16:creationId xmlns:a16="http://schemas.microsoft.com/office/drawing/2014/main" id="{6D2529FA-B1DD-2B2B-DE38-3D1917C55E68}"/>
            </a:ext>
          </a:extLst>
        </xdr:cNvPr>
        <xdr:cNvSpPr txBox="1"/>
      </xdr:nvSpPr>
      <xdr:spPr>
        <a:xfrm>
          <a:off x="14661515" y="2499491"/>
          <a:ext cx="1784792" cy="432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Salaries</a:t>
          </a:r>
        </a:p>
      </xdr:txBody>
    </xdr:sp>
    <xdr:clientData/>
  </xdr:twoCellAnchor>
  <xdr:twoCellAnchor>
    <xdr:from>
      <xdr:col>24</xdr:col>
      <xdr:colOff>289666</xdr:colOff>
      <xdr:row>14</xdr:row>
      <xdr:rowOff>78065</xdr:rowOff>
    </xdr:from>
    <xdr:to>
      <xdr:col>24</xdr:col>
      <xdr:colOff>435342</xdr:colOff>
      <xdr:row>15</xdr:row>
      <xdr:rowOff>44445</xdr:rowOff>
    </xdr:to>
    <xdr:sp macro="" textlink="">
      <xdr:nvSpPr>
        <xdr:cNvPr id="57" name="Flowchart: Connector 56">
          <a:extLst>
            <a:ext uri="{FF2B5EF4-FFF2-40B4-BE49-F238E27FC236}">
              <a16:creationId xmlns:a16="http://schemas.microsoft.com/office/drawing/2014/main" id="{9ADEF1F1-6408-420B-9BCA-8D636B0A431D}"/>
            </a:ext>
          </a:extLst>
        </xdr:cNvPr>
        <xdr:cNvSpPr/>
      </xdr:nvSpPr>
      <xdr:spPr>
        <a:xfrm>
          <a:off x="14564796" y="2675792"/>
          <a:ext cx="145676" cy="151932"/>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393805</xdr:colOff>
      <xdr:row>15</xdr:row>
      <xdr:rowOff>78440</xdr:rowOff>
    </xdr:from>
    <xdr:to>
      <xdr:col>30</xdr:col>
      <xdr:colOff>321623</xdr:colOff>
      <xdr:row>17</xdr:row>
      <xdr:rowOff>148441</xdr:rowOff>
    </xdr:to>
    <xdr:sp macro="" textlink="">
      <xdr:nvSpPr>
        <xdr:cNvPr id="58" name="TextBox 57">
          <a:extLst>
            <a:ext uri="{FF2B5EF4-FFF2-40B4-BE49-F238E27FC236}">
              <a16:creationId xmlns:a16="http://schemas.microsoft.com/office/drawing/2014/main" id="{68592611-CFC7-2690-0E78-4EBA956CDDBA}"/>
            </a:ext>
          </a:extLst>
        </xdr:cNvPr>
        <xdr:cNvSpPr txBox="1"/>
      </xdr:nvSpPr>
      <xdr:spPr>
        <a:xfrm>
          <a:off x="14668935" y="2861719"/>
          <a:ext cx="3564636" cy="441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lumMod val="75000"/>
                </a:schemeClr>
              </a:solidFill>
              <a:latin typeface="+mn-lt"/>
              <a:ea typeface="+mn-ea"/>
              <a:cs typeface="+mn-cs"/>
            </a:rPr>
            <a:t>Salaries For Each Employment Status</a:t>
          </a:r>
        </a:p>
      </xdr:txBody>
    </xdr:sp>
    <xdr:clientData/>
  </xdr:twoCellAnchor>
  <xdr:twoCellAnchor>
    <xdr:from>
      <xdr:col>24</xdr:col>
      <xdr:colOff>173182</xdr:colOff>
      <xdr:row>4</xdr:row>
      <xdr:rowOff>98960</xdr:rowOff>
    </xdr:from>
    <xdr:to>
      <xdr:col>30</xdr:col>
      <xdr:colOff>197922</xdr:colOff>
      <xdr:row>12</xdr:row>
      <xdr:rowOff>111332</xdr:rowOff>
    </xdr:to>
    <xdr:graphicFrame macro="">
      <xdr:nvGraphicFramePr>
        <xdr:cNvPr id="64" name="Chart 63">
          <a:extLst>
            <a:ext uri="{FF2B5EF4-FFF2-40B4-BE49-F238E27FC236}">
              <a16:creationId xmlns:a16="http://schemas.microsoft.com/office/drawing/2014/main" id="{A11EF0EF-36C7-4722-9AA9-4C4389AE7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24</xdr:col>
      <xdr:colOff>220188</xdr:colOff>
      <xdr:row>1</xdr:row>
      <xdr:rowOff>33614</xdr:rowOff>
    </xdr:from>
    <xdr:to>
      <xdr:col>29</xdr:col>
      <xdr:colOff>231395</xdr:colOff>
      <xdr:row>4</xdr:row>
      <xdr:rowOff>179293</xdr:rowOff>
    </xdr:to>
    <xdr:sp macro="" textlink="">
      <xdr:nvSpPr>
        <xdr:cNvPr id="65" name="TextBox 64">
          <a:extLst>
            <a:ext uri="{FF2B5EF4-FFF2-40B4-BE49-F238E27FC236}">
              <a16:creationId xmlns:a16="http://schemas.microsoft.com/office/drawing/2014/main" id="{088F7C30-B52A-1E55-8AC1-EA959A98307D}"/>
            </a:ext>
          </a:extLst>
        </xdr:cNvPr>
        <xdr:cNvSpPr txBox="1"/>
      </xdr:nvSpPr>
      <xdr:spPr>
        <a:xfrm>
          <a:off x="14495318" y="219166"/>
          <a:ext cx="3041889" cy="702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FFC107"/>
              </a:solidFill>
              <a:latin typeface="+mn-lt"/>
              <a:ea typeface="+mn-ea"/>
              <a:cs typeface="+mn-cs"/>
            </a:rPr>
            <a:t>Department</a:t>
          </a:r>
        </a:p>
      </xdr:txBody>
    </xdr:sp>
    <xdr:clientData/>
  </xdr:twoCellAnchor>
  <xdr:twoCellAnchor>
    <xdr:from>
      <xdr:col>24</xdr:col>
      <xdr:colOff>85253</xdr:colOff>
      <xdr:row>1</xdr:row>
      <xdr:rowOff>175191</xdr:rowOff>
    </xdr:from>
    <xdr:to>
      <xdr:col>24</xdr:col>
      <xdr:colOff>230929</xdr:colOff>
      <xdr:row>2</xdr:row>
      <xdr:rowOff>146520</xdr:rowOff>
    </xdr:to>
    <xdr:sp macro="" textlink="">
      <xdr:nvSpPr>
        <xdr:cNvPr id="72" name="Flowchart: Connector 71">
          <a:extLst>
            <a:ext uri="{FF2B5EF4-FFF2-40B4-BE49-F238E27FC236}">
              <a16:creationId xmlns:a16="http://schemas.microsoft.com/office/drawing/2014/main" id="{412C2F2A-36D8-490A-AD34-F9F223CFD867}"/>
            </a:ext>
          </a:extLst>
        </xdr:cNvPr>
        <xdr:cNvSpPr/>
      </xdr:nvSpPr>
      <xdr:spPr>
        <a:xfrm>
          <a:off x="14360383" y="360743"/>
          <a:ext cx="145676" cy="156881"/>
        </a:xfrm>
        <a:prstGeom prst="flowChartConnector">
          <a:avLst/>
        </a:prstGeom>
        <a:solidFill>
          <a:srgbClr val="D4EA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393805</xdr:colOff>
      <xdr:row>3</xdr:row>
      <xdr:rowOff>28959</xdr:rowOff>
    </xdr:from>
    <xdr:to>
      <xdr:col>30</xdr:col>
      <xdr:colOff>321623</xdr:colOff>
      <xdr:row>5</xdr:row>
      <xdr:rowOff>98960</xdr:rowOff>
    </xdr:to>
    <xdr:sp macro="" textlink="">
      <xdr:nvSpPr>
        <xdr:cNvPr id="73" name="TextBox 72">
          <a:extLst>
            <a:ext uri="{FF2B5EF4-FFF2-40B4-BE49-F238E27FC236}">
              <a16:creationId xmlns:a16="http://schemas.microsoft.com/office/drawing/2014/main" id="{971D90EC-BCF4-106D-7F15-9CCEDDFC0646}"/>
            </a:ext>
          </a:extLst>
        </xdr:cNvPr>
        <xdr:cNvSpPr txBox="1"/>
      </xdr:nvSpPr>
      <xdr:spPr>
        <a:xfrm>
          <a:off x="14668935" y="585615"/>
          <a:ext cx="3564636" cy="441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chemeClr val="bg1">
                  <a:lumMod val="75000"/>
                </a:schemeClr>
              </a:solidFill>
              <a:latin typeface="+mn-lt"/>
              <a:ea typeface="+mn-ea"/>
              <a:cs typeface="+mn-cs"/>
            </a:rPr>
            <a:t>No of Employee for each Department</a:t>
          </a:r>
        </a:p>
      </xdr:txBody>
    </xdr:sp>
    <xdr:clientData/>
  </xdr:twoCellAnchor>
  <xdr:twoCellAnchor editAs="oneCell">
    <xdr:from>
      <xdr:col>0</xdr:col>
      <xdr:colOff>259773</xdr:colOff>
      <xdr:row>0</xdr:row>
      <xdr:rowOff>37111</xdr:rowOff>
    </xdr:from>
    <xdr:to>
      <xdr:col>2</xdr:col>
      <xdr:colOff>395844</xdr:colOff>
      <xdr:row>6</xdr:row>
      <xdr:rowOff>120509</xdr:rowOff>
    </xdr:to>
    <xdr:pic>
      <xdr:nvPicPr>
        <xdr:cNvPr id="76" name="Picture 75" descr="Social security ">
          <a:extLst>
            <a:ext uri="{FF2B5EF4-FFF2-40B4-BE49-F238E27FC236}">
              <a16:creationId xmlns:a16="http://schemas.microsoft.com/office/drawing/2014/main" id="{F14467BA-3915-E2C7-78E9-17101BCCEAB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59773" y="37111"/>
          <a:ext cx="1348344" cy="1196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5987.629354629629" createdVersion="8" refreshedVersion="8" minRefreshableVersion="3" recordCount="50" xr:uid="{28ED60F2-B03F-485F-87F3-7C0D7BDBB654}">
  <cacheSource type="worksheet">
    <worksheetSource name="Data"/>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ount="50">
        <s v="Luis Reynolds"/>
        <s v="Ashley Simmons MD"/>
        <s v="Cassandra Duncan"/>
        <s v="Janet Harris"/>
        <s v="Mr. Frank Clay"/>
        <s v="Dorothy Price"/>
        <s v="Michele Sexton"/>
        <s v="Richard Schmidt"/>
        <s v="Teresa Pearson"/>
        <s v="Laura Hart"/>
        <s v="Andrea May"/>
        <s v="Casey Martin"/>
        <s v="Amber Allen"/>
        <s v="Adam Johnson"/>
        <s v="Nicole Dominguez"/>
        <s v="Andrew Best"/>
        <s v="Gabrielle Rodriguez"/>
        <s v="Allison Harvey"/>
        <s v="Tristan Mejia"/>
        <s v="Mary Welch"/>
        <s v="Douglas Miles"/>
        <s v="Jessica Fleming"/>
        <s v="Christine Lee"/>
        <s v="Mario Smith DVM"/>
        <s v="Joseph Francis"/>
        <s v="Sarah Young"/>
        <s v="Aaron Hart"/>
        <s v="Brian Boyd"/>
        <s v="Steven Krueger"/>
        <s v="Debra Williams"/>
        <s v="Karen Mitchell"/>
        <s v="Joseph Sanders"/>
        <s v="Shelly George"/>
        <s v="Nicole Houston"/>
        <s v="Kristin Shaffer"/>
        <s v="Joel Aguilar"/>
        <s v="Michael Wade"/>
        <s v="Jessica Walsh"/>
        <s v="Kelly Mack"/>
        <s v="John Conley"/>
        <s v="Aaron Baker"/>
        <s v="Christopher Bass"/>
        <s v="Sean Tucker PhD"/>
        <s v="Jacob Scott"/>
        <s v="Joel Park"/>
        <s v="Russell Marshall"/>
        <s v="James Holden"/>
        <s v="Thomas Murphy"/>
        <s v="Mark Abbott"/>
        <s v="Robin Lynch"/>
      </sharedItems>
    </cacheField>
    <cacheField name="Date of Hire" numFmtId="14">
      <sharedItems containsSemiMixedTypes="0" containsNonDate="0" containsDate="1" containsString="0" minDate="2014-12-09T00:00:00" maxDate="2024-09-04T00:00:00"/>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ount="3">
        <s v="Health"/>
        <s v="None"/>
        <s v="Health + Dental"/>
      </sharedItems>
    </cacheField>
    <cacheField name="Leave Taken" numFmtId="0">
      <sharedItems containsSemiMixedTypes="0" containsString="0" containsNumber="1" containsInteger="1" minValue="0" maxValue="20" count="18">
        <n v="1"/>
        <n v="19"/>
        <n v="8"/>
        <n v="0"/>
        <n v="16"/>
        <n v="7"/>
        <n v="4"/>
        <n v="10"/>
        <n v="20"/>
        <n v="2"/>
        <n v="13"/>
        <n v="11"/>
        <n v="18"/>
        <n v="17"/>
        <n v="9"/>
        <n v="14"/>
        <n v="5"/>
        <n v="15"/>
      </sharedItems>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936063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x v="0"/>
    <d v="2019-03-15T00:00:00"/>
    <x v="0"/>
    <x v="0"/>
    <n v="53700"/>
    <s v="C"/>
    <n v="1463"/>
    <x v="0"/>
    <x v="0"/>
    <n v="1"/>
    <s v="Leadership Training"/>
    <x v="0"/>
    <s v="Certified Professional"/>
  </r>
  <r>
    <n v="9116"/>
    <s v="Gary Garcia"/>
    <x v="1"/>
    <n v="27"/>
    <x v="1"/>
    <x v="1"/>
    <x v="1"/>
    <x v="1"/>
    <x v="1"/>
    <d v="2022-12-20T00:00:00"/>
    <x v="0"/>
    <x v="1"/>
    <n v="91091"/>
    <s v="B"/>
    <n v="1024"/>
    <x v="1"/>
    <x v="1"/>
    <n v="4"/>
    <s v="Excel Workshop"/>
    <x v="0"/>
    <s v="Certified Professional"/>
  </r>
  <r>
    <n v="5120"/>
    <s v="Jeremy Nguyen"/>
    <x v="1"/>
    <n v="34"/>
    <x v="1"/>
    <x v="2"/>
    <x v="2"/>
    <x v="2"/>
    <x v="2"/>
    <d v="2022-08-10T00:00:00"/>
    <x v="0"/>
    <x v="2"/>
    <n v="57538"/>
    <s v="D"/>
    <n v="1674"/>
    <x v="1"/>
    <x v="2"/>
    <n v="1"/>
    <s v="None"/>
    <x v="1"/>
    <s v="Advanced Training"/>
  </r>
  <r>
    <n v="8071"/>
    <s v="Kimberly Jones"/>
    <x v="0"/>
    <n v="41"/>
    <x v="2"/>
    <x v="2"/>
    <x v="0"/>
    <x v="3"/>
    <x v="3"/>
    <d v="2024-09-03T00:00:00"/>
    <x v="1"/>
    <x v="0"/>
    <n v="62993"/>
    <s v="A"/>
    <n v="2695"/>
    <x v="2"/>
    <x v="3"/>
    <n v="2"/>
    <s v="None"/>
    <x v="2"/>
    <s v="None"/>
  </r>
  <r>
    <n v="9351"/>
    <s v="Anthony Gates"/>
    <x v="1"/>
    <n v="56"/>
    <x v="3"/>
    <x v="0"/>
    <x v="0"/>
    <x v="2"/>
    <x v="4"/>
    <d v="2019-03-14T00:00:00"/>
    <x v="1"/>
    <x v="1"/>
    <n v="45773"/>
    <s v="A"/>
    <n v="8776"/>
    <x v="0"/>
    <x v="4"/>
    <n v="4"/>
    <s v="Leadership Training"/>
    <x v="2"/>
    <s v="None"/>
  </r>
  <r>
    <n v="2873"/>
    <s v="Courtney Foster"/>
    <x v="0"/>
    <n v="28"/>
    <x v="1"/>
    <x v="2"/>
    <x v="3"/>
    <x v="2"/>
    <x v="5"/>
    <d v="2017-01-23T00:00:00"/>
    <x v="0"/>
    <x v="1"/>
    <n v="96249"/>
    <s v="C"/>
    <n v="4826"/>
    <x v="2"/>
    <x v="5"/>
    <n v="3"/>
    <s v="Leadership Training"/>
    <x v="3"/>
    <s v="Certified Professional"/>
  </r>
  <r>
    <n v="3540"/>
    <s v="Catherine Hall"/>
    <x v="0"/>
    <n v="20"/>
    <x v="0"/>
    <x v="1"/>
    <x v="2"/>
    <x v="2"/>
    <x v="6"/>
    <d v="2024-08-17T00:00:00"/>
    <x v="0"/>
    <x v="2"/>
    <n v="61596"/>
    <s v="C"/>
    <n v="8818"/>
    <x v="2"/>
    <x v="6"/>
    <n v="2"/>
    <s v="Leadership Training"/>
    <x v="1"/>
    <s v="None"/>
  </r>
  <r>
    <n v="3653"/>
    <s v="Deanna Ball"/>
    <x v="0"/>
    <n v="58"/>
    <x v="3"/>
    <x v="3"/>
    <x v="1"/>
    <x v="4"/>
    <x v="7"/>
    <d v="2014-12-09T00:00:00"/>
    <x v="0"/>
    <x v="2"/>
    <n v="97869"/>
    <s v="A"/>
    <n v="1966"/>
    <x v="0"/>
    <x v="7"/>
    <n v="1"/>
    <s v="Leadership Training"/>
    <x v="0"/>
    <s v="Certified Professional"/>
  </r>
  <r>
    <n v="5587"/>
    <s v="Candace Nelson"/>
    <x v="0"/>
    <n v="44"/>
    <x v="2"/>
    <x v="3"/>
    <x v="2"/>
    <x v="2"/>
    <x v="8"/>
    <d v="2021-06-28T00:00:00"/>
    <x v="0"/>
    <x v="0"/>
    <n v="81235"/>
    <s v="A"/>
    <n v="6553"/>
    <x v="1"/>
    <x v="4"/>
    <n v="2"/>
    <s v="None"/>
    <x v="1"/>
    <s v="Certified Professional"/>
  </r>
  <r>
    <n v="9554"/>
    <s v="Mandy Davis"/>
    <x v="0"/>
    <n v="29"/>
    <x v="1"/>
    <x v="1"/>
    <x v="2"/>
    <x v="3"/>
    <x v="9"/>
    <d v="2018-05-20T00:00:00"/>
    <x v="0"/>
    <x v="1"/>
    <n v="87852"/>
    <s v="A"/>
    <n v="4980"/>
    <x v="2"/>
    <x v="1"/>
    <n v="3"/>
    <s v="None"/>
    <x v="2"/>
    <s v="Certified Professional"/>
  </r>
  <r>
    <n v="6213"/>
    <s v="Matthew Powell"/>
    <x v="1"/>
    <n v="23"/>
    <x v="0"/>
    <x v="3"/>
    <x v="0"/>
    <x v="2"/>
    <x v="10"/>
    <d v="2017-02-13T00:00:00"/>
    <x v="1"/>
    <x v="1"/>
    <n v="59359"/>
    <s v="A"/>
    <n v="9449"/>
    <x v="2"/>
    <x v="8"/>
    <n v="3"/>
    <s v="None"/>
    <x v="1"/>
    <s v="None"/>
  </r>
  <r>
    <n v="9105"/>
    <s v="Bruce Nelson"/>
    <x v="1"/>
    <n v="30"/>
    <x v="1"/>
    <x v="0"/>
    <x v="1"/>
    <x v="0"/>
    <x v="11"/>
    <d v="2024-05-05T00:00:00"/>
    <x v="1"/>
    <x v="2"/>
    <n v="81225"/>
    <s v="D"/>
    <n v="6202"/>
    <x v="2"/>
    <x v="9"/>
    <n v="2"/>
    <s v="Excel Workshop"/>
    <x v="4"/>
    <s v="Certified Professional"/>
  </r>
  <r>
    <n v="9508"/>
    <s v="Dawn Cole"/>
    <x v="0"/>
    <n v="49"/>
    <x v="4"/>
    <x v="1"/>
    <x v="0"/>
    <x v="0"/>
    <x v="12"/>
    <d v="2022-04-19T00:00:00"/>
    <x v="1"/>
    <x v="0"/>
    <n v="32788"/>
    <s v="D"/>
    <n v="4396"/>
    <x v="0"/>
    <x v="10"/>
    <n v="5"/>
    <s v="None"/>
    <x v="3"/>
    <s v="Advanced Training"/>
  </r>
  <r>
    <n v="2436"/>
    <s v="Tanner Morse"/>
    <x v="1"/>
    <n v="60"/>
    <x v="3"/>
    <x v="4"/>
    <x v="0"/>
    <x v="3"/>
    <x v="13"/>
    <d v="2015-11-16T00:00:00"/>
    <x v="1"/>
    <x v="2"/>
    <n v="70452"/>
    <s v="D"/>
    <n v="9911"/>
    <x v="1"/>
    <x v="9"/>
    <n v="1"/>
    <s v="None"/>
    <x v="3"/>
    <s v="Certified Professional"/>
  </r>
  <r>
    <n v="4441"/>
    <s v="Jose Griffin"/>
    <x v="1"/>
    <n v="46"/>
    <x v="4"/>
    <x v="1"/>
    <x v="3"/>
    <x v="0"/>
    <x v="14"/>
    <d v="2023-09-09T00:00:00"/>
    <x v="0"/>
    <x v="1"/>
    <n v="33045"/>
    <s v="B"/>
    <n v="1456"/>
    <x v="1"/>
    <x v="4"/>
    <n v="3"/>
    <s v="Excel Workshop"/>
    <x v="3"/>
    <s v="None"/>
  </r>
  <r>
    <n v="5827"/>
    <s v="Daniel Hawkins"/>
    <x v="1"/>
    <n v="57"/>
    <x v="3"/>
    <x v="2"/>
    <x v="3"/>
    <x v="1"/>
    <x v="15"/>
    <d v="2017-12-12T00:00:00"/>
    <x v="2"/>
    <x v="2"/>
    <n v="96429"/>
    <s v="C"/>
    <n v="4740"/>
    <x v="1"/>
    <x v="2"/>
    <n v="1"/>
    <s v="Excel Workshop"/>
    <x v="2"/>
    <s v="None"/>
  </r>
  <r>
    <n v="5184"/>
    <s v="Elaine Mcclain"/>
    <x v="0"/>
    <n v="24"/>
    <x v="0"/>
    <x v="1"/>
    <x v="2"/>
    <x v="2"/>
    <x v="16"/>
    <d v="2017-03-10T00:00:00"/>
    <x v="2"/>
    <x v="2"/>
    <n v="33183"/>
    <s v="A"/>
    <n v="8114"/>
    <x v="1"/>
    <x v="6"/>
    <n v="2"/>
    <s v="Excel Workshop"/>
    <x v="4"/>
    <s v="Advanced Training"/>
  </r>
  <r>
    <n v="5874"/>
    <s v="Kimberly Jones"/>
    <x v="0"/>
    <n v="35"/>
    <x v="1"/>
    <x v="4"/>
    <x v="3"/>
    <x v="0"/>
    <x v="17"/>
    <d v="2019-03-04T00:00:00"/>
    <x v="2"/>
    <x v="0"/>
    <n v="75065"/>
    <s v="C"/>
    <n v="7123"/>
    <x v="1"/>
    <x v="8"/>
    <n v="2"/>
    <s v="None"/>
    <x v="0"/>
    <s v="Advanced Training"/>
  </r>
  <r>
    <n v="9834"/>
    <s v="Thomas Kramer"/>
    <x v="1"/>
    <n v="41"/>
    <x v="2"/>
    <x v="1"/>
    <x v="1"/>
    <x v="4"/>
    <x v="18"/>
    <d v="2022-11-20T00:00:00"/>
    <x v="0"/>
    <x v="2"/>
    <n v="32877"/>
    <s v="C"/>
    <n v="6432"/>
    <x v="0"/>
    <x v="11"/>
    <n v="1"/>
    <s v="None"/>
    <x v="0"/>
    <s v="None"/>
  </r>
  <r>
    <n v="5096"/>
    <s v="Kevin Whitaker"/>
    <x v="1"/>
    <n v="36"/>
    <x v="2"/>
    <x v="1"/>
    <x v="4"/>
    <x v="3"/>
    <x v="19"/>
    <d v="2021-03-02T00:00:00"/>
    <x v="0"/>
    <x v="1"/>
    <n v="46811"/>
    <s v="D"/>
    <n v="1567"/>
    <x v="1"/>
    <x v="5"/>
    <n v="3"/>
    <s v="Excel Workshop"/>
    <x v="0"/>
    <s v="Advanced Training"/>
  </r>
  <r>
    <n v="2263"/>
    <s v="Dustin Carter"/>
    <x v="1"/>
    <n v="31"/>
    <x v="1"/>
    <x v="3"/>
    <x v="2"/>
    <x v="1"/>
    <x v="20"/>
    <d v="2021-08-01T00:00:00"/>
    <x v="1"/>
    <x v="1"/>
    <n v="87538"/>
    <s v="C"/>
    <n v="3588"/>
    <x v="2"/>
    <x v="11"/>
    <n v="5"/>
    <s v="Excel Workshop"/>
    <x v="2"/>
    <s v="None"/>
  </r>
  <r>
    <n v="6505"/>
    <s v="Nicole Williamson"/>
    <x v="0"/>
    <n v="28"/>
    <x v="1"/>
    <x v="0"/>
    <x v="1"/>
    <x v="4"/>
    <x v="21"/>
    <d v="2015-08-14T00:00:00"/>
    <x v="0"/>
    <x v="1"/>
    <n v="73002"/>
    <s v="C"/>
    <n v="6296"/>
    <x v="0"/>
    <x v="9"/>
    <n v="5"/>
    <s v="Excel Workshop"/>
    <x v="1"/>
    <s v="Certified Professional"/>
  </r>
  <r>
    <n v="8626"/>
    <s v="Matthew Knight"/>
    <x v="1"/>
    <n v="37"/>
    <x v="2"/>
    <x v="3"/>
    <x v="1"/>
    <x v="3"/>
    <x v="22"/>
    <d v="2015-10-21T00:00:00"/>
    <x v="2"/>
    <x v="2"/>
    <n v="41653"/>
    <s v="D"/>
    <n v="9236"/>
    <x v="1"/>
    <x v="10"/>
    <n v="1"/>
    <s v="Excel Workshop"/>
    <x v="0"/>
    <s v="None"/>
  </r>
  <r>
    <n v="5979"/>
    <s v="Donna Jones"/>
    <x v="0"/>
    <n v="31"/>
    <x v="1"/>
    <x v="0"/>
    <x v="0"/>
    <x v="2"/>
    <x v="23"/>
    <d v="2015-03-14T00:00:00"/>
    <x v="1"/>
    <x v="1"/>
    <n v="67582"/>
    <s v="A"/>
    <n v="1375"/>
    <x v="0"/>
    <x v="8"/>
    <n v="3"/>
    <s v="Excel Workshop"/>
    <x v="1"/>
    <s v="None"/>
  </r>
  <r>
    <n v="3104"/>
    <s v="Carolyn Bullock"/>
    <x v="0"/>
    <n v="23"/>
    <x v="0"/>
    <x v="3"/>
    <x v="1"/>
    <x v="1"/>
    <x v="24"/>
    <d v="2024-05-22T00:00:00"/>
    <x v="2"/>
    <x v="1"/>
    <n v="37351"/>
    <s v="D"/>
    <n v="7858"/>
    <x v="2"/>
    <x v="12"/>
    <n v="2"/>
    <s v="Leadership Training"/>
    <x v="1"/>
    <s v="Advanced Training"/>
  </r>
  <r>
    <n v="8967"/>
    <s v="Wendy Gomez"/>
    <x v="0"/>
    <n v="48"/>
    <x v="4"/>
    <x v="4"/>
    <x v="2"/>
    <x v="0"/>
    <x v="25"/>
    <d v="2017-03-19T00:00:00"/>
    <x v="0"/>
    <x v="1"/>
    <n v="36721"/>
    <s v="B"/>
    <n v="8820"/>
    <x v="2"/>
    <x v="3"/>
    <n v="2"/>
    <s v="Excel Workshop"/>
    <x v="1"/>
    <s v="Certified Professional"/>
  </r>
  <r>
    <n v="5087"/>
    <s v="Michael Thomas"/>
    <x v="1"/>
    <n v="28"/>
    <x v="1"/>
    <x v="2"/>
    <x v="4"/>
    <x v="0"/>
    <x v="26"/>
    <d v="2021-09-15T00:00:00"/>
    <x v="1"/>
    <x v="2"/>
    <n v="46326"/>
    <s v="B"/>
    <n v="9189"/>
    <x v="2"/>
    <x v="2"/>
    <n v="4"/>
    <s v="Leadership Training"/>
    <x v="3"/>
    <s v="Advanced Training"/>
  </r>
  <r>
    <n v="3358"/>
    <s v="Kevin Bell"/>
    <x v="1"/>
    <n v="30"/>
    <x v="1"/>
    <x v="1"/>
    <x v="3"/>
    <x v="1"/>
    <x v="27"/>
    <d v="2022-05-09T00:00:00"/>
    <x v="0"/>
    <x v="0"/>
    <n v="59007"/>
    <s v="C"/>
    <n v="3380"/>
    <x v="0"/>
    <x v="13"/>
    <n v="3"/>
    <s v="None"/>
    <x v="4"/>
    <s v="Certified Professional"/>
  </r>
  <r>
    <n v="8256"/>
    <s v="Richard Landry"/>
    <x v="1"/>
    <n v="46"/>
    <x v="4"/>
    <x v="3"/>
    <x v="0"/>
    <x v="3"/>
    <x v="28"/>
    <d v="2017-06-22T00:00:00"/>
    <x v="0"/>
    <x v="1"/>
    <n v="52020"/>
    <s v="B"/>
    <n v="9585"/>
    <x v="2"/>
    <x v="3"/>
    <n v="4"/>
    <s v="Excel Workshop"/>
    <x v="4"/>
    <s v="None"/>
  </r>
  <r>
    <n v="5763"/>
    <s v="George Hurley"/>
    <x v="1"/>
    <n v="44"/>
    <x v="2"/>
    <x v="1"/>
    <x v="2"/>
    <x v="1"/>
    <x v="29"/>
    <d v="2020-11-28T00:00:00"/>
    <x v="2"/>
    <x v="1"/>
    <n v="98961"/>
    <s v="D"/>
    <n v="2688"/>
    <x v="0"/>
    <x v="9"/>
    <n v="5"/>
    <s v="Excel Workshop"/>
    <x v="4"/>
    <s v="Certified Professional"/>
  </r>
  <r>
    <n v="6838"/>
    <s v="Mark Lopez"/>
    <x v="1"/>
    <n v="45"/>
    <x v="2"/>
    <x v="2"/>
    <x v="3"/>
    <x v="2"/>
    <x v="30"/>
    <d v="2015-08-30T00:00:00"/>
    <x v="2"/>
    <x v="1"/>
    <n v="81943"/>
    <s v="C"/>
    <n v="2255"/>
    <x v="0"/>
    <x v="12"/>
    <n v="2"/>
    <s v="None"/>
    <x v="2"/>
    <s v="Certified Professional"/>
  </r>
  <r>
    <n v="9544"/>
    <s v="Robert Williams"/>
    <x v="1"/>
    <n v="52"/>
    <x v="4"/>
    <x v="4"/>
    <x v="2"/>
    <x v="1"/>
    <x v="31"/>
    <d v="2018-10-27T00:00:00"/>
    <x v="2"/>
    <x v="1"/>
    <n v="47627"/>
    <s v="C"/>
    <n v="1221"/>
    <x v="1"/>
    <x v="6"/>
    <n v="3"/>
    <s v="None"/>
    <x v="1"/>
    <s v="None"/>
  </r>
  <r>
    <n v="8012"/>
    <s v="Mary Schmidt"/>
    <x v="0"/>
    <n v="52"/>
    <x v="4"/>
    <x v="0"/>
    <x v="0"/>
    <x v="4"/>
    <x v="32"/>
    <d v="2018-08-26T00:00:00"/>
    <x v="2"/>
    <x v="1"/>
    <n v="56162"/>
    <s v="D"/>
    <n v="6560"/>
    <x v="2"/>
    <x v="14"/>
    <n v="4"/>
    <s v="Excel Workshop"/>
    <x v="3"/>
    <s v="None"/>
  </r>
  <r>
    <n v="9374"/>
    <s v="Mary Martinez"/>
    <x v="0"/>
    <n v="42"/>
    <x v="2"/>
    <x v="1"/>
    <x v="2"/>
    <x v="2"/>
    <x v="33"/>
    <d v="2023-07-24T00:00:00"/>
    <x v="1"/>
    <x v="2"/>
    <n v="95734"/>
    <s v="C"/>
    <n v="4854"/>
    <x v="0"/>
    <x v="10"/>
    <n v="2"/>
    <s v="Leadership Training"/>
    <x v="0"/>
    <s v="Certified Professional"/>
  </r>
  <r>
    <n v="3487"/>
    <s v="Paul Hall"/>
    <x v="1"/>
    <n v="58"/>
    <x v="3"/>
    <x v="1"/>
    <x v="1"/>
    <x v="3"/>
    <x v="34"/>
    <d v="2018-07-09T00:00:00"/>
    <x v="1"/>
    <x v="2"/>
    <n v="74789"/>
    <s v="C"/>
    <n v="8101"/>
    <x v="2"/>
    <x v="15"/>
    <n v="5"/>
    <s v="Excel Workshop"/>
    <x v="2"/>
    <s v="None"/>
  </r>
  <r>
    <n v="8445"/>
    <s v="Samantha Foster"/>
    <x v="0"/>
    <n v="24"/>
    <x v="0"/>
    <x v="4"/>
    <x v="0"/>
    <x v="3"/>
    <x v="35"/>
    <d v="2016-12-21T00:00:00"/>
    <x v="0"/>
    <x v="2"/>
    <n v="30137"/>
    <s v="B"/>
    <n v="4031"/>
    <x v="1"/>
    <x v="16"/>
    <n v="3"/>
    <s v="None"/>
    <x v="1"/>
    <s v="Certified Professional"/>
  </r>
  <r>
    <n v="1550"/>
    <s v="Timothy Aguilar"/>
    <x v="1"/>
    <n v="21"/>
    <x v="0"/>
    <x v="1"/>
    <x v="0"/>
    <x v="0"/>
    <x v="36"/>
    <d v="2019-06-27T00:00:00"/>
    <x v="0"/>
    <x v="2"/>
    <n v="95510"/>
    <s v="C"/>
    <n v="6811"/>
    <x v="0"/>
    <x v="12"/>
    <n v="4"/>
    <s v="Excel Workshop"/>
    <x v="4"/>
    <s v="Certified Professional"/>
  </r>
  <r>
    <n v="9968"/>
    <s v="Charles Andrews"/>
    <x v="1"/>
    <n v="58"/>
    <x v="3"/>
    <x v="1"/>
    <x v="3"/>
    <x v="0"/>
    <x v="37"/>
    <d v="2021-08-27T00:00:00"/>
    <x v="1"/>
    <x v="0"/>
    <n v="80325"/>
    <s v="B"/>
    <n v="6230"/>
    <x v="0"/>
    <x v="16"/>
    <n v="4"/>
    <s v="None"/>
    <x v="2"/>
    <s v="Advanced Training"/>
  </r>
  <r>
    <n v="8029"/>
    <s v="Veronica Nelson"/>
    <x v="0"/>
    <n v="57"/>
    <x v="3"/>
    <x v="3"/>
    <x v="4"/>
    <x v="4"/>
    <x v="38"/>
    <d v="2017-05-28T00:00:00"/>
    <x v="2"/>
    <x v="1"/>
    <n v="34109"/>
    <s v="B"/>
    <n v="9232"/>
    <x v="0"/>
    <x v="10"/>
    <n v="3"/>
    <s v="Leadership Training"/>
    <x v="0"/>
    <s v="Certified Professional"/>
  </r>
  <r>
    <n v="8847"/>
    <s v="Chris Sanchez"/>
    <x v="1"/>
    <n v="41"/>
    <x v="2"/>
    <x v="3"/>
    <x v="3"/>
    <x v="0"/>
    <x v="39"/>
    <d v="2022-01-30T00:00:00"/>
    <x v="2"/>
    <x v="2"/>
    <n v="73330"/>
    <s v="C"/>
    <n v="2276"/>
    <x v="2"/>
    <x v="16"/>
    <n v="1"/>
    <s v="None"/>
    <x v="1"/>
    <s v="Advanced Training"/>
  </r>
  <r>
    <n v="1955"/>
    <s v="Cassie Galvan"/>
    <x v="0"/>
    <n v="58"/>
    <x v="3"/>
    <x v="2"/>
    <x v="2"/>
    <x v="1"/>
    <x v="40"/>
    <d v="2017-04-20T00:00:00"/>
    <x v="1"/>
    <x v="2"/>
    <n v="46567"/>
    <s v="A"/>
    <n v="2825"/>
    <x v="0"/>
    <x v="17"/>
    <n v="3"/>
    <s v="None"/>
    <x v="4"/>
    <s v="Advanced Training"/>
  </r>
  <r>
    <n v="4522"/>
    <s v="Jessica Jones"/>
    <x v="0"/>
    <n v="36"/>
    <x v="2"/>
    <x v="0"/>
    <x v="4"/>
    <x v="0"/>
    <x v="41"/>
    <d v="2019-07-22T00:00:00"/>
    <x v="1"/>
    <x v="1"/>
    <n v="39795"/>
    <s v="A"/>
    <n v="1670"/>
    <x v="1"/>
    <x v="3"/>
    <n v="2"/>
    <s v="Excel Workshop"/>
    <x v="3"/>
    <s v="None"/>
  </r>
  <r>
    <n v="3078"/>
    <s v="Emily Walker"/>
    <x v="0"/>
    <n v="21"/>
    <x v="0"/>
    <x v="0"/>
    <x v="0"/>
    <x v="4"/>
    <x v="42"/>
    <d v="2018-11-29T00:00:00"/>
    <x v="1"/>
    <x v="2"/>
    <n v="59506"/>
    <s v="A"/>
    <n v="4428"/>
    <x v="2"/>
    <x v="3"/>
    <n v="1"/>
    <s v="None"/>
    <x v="3"/>
    <s v="Certified Professional"/>
  </r>
  <r>
    <n v="6357"/>
    <s v="Vickie Lewis"/>
    <x v="0"/>
    <n v="46"/>
    <x v="4"/>
    <x v="2"/>
    <x v="1"/>
    <x v="4"/>
    <x v="43"/>
    <d v="2022-11-14T00:00:00"/>
    <x v="1"/>
    <x v="2"/>
    <n v="49058"/>
    <s v="B"/>
    <n v="4396"/>
    <x v="1"/>
    <x v="16"/>
    <n v="1"/>
    <s v="None"/>
    <x v="3"/>
    <s v="None"/>
  </r>
  <r>
    <n v="7951"/>
    <s v="Alexis Clark"/>
    <x v="0"/>
    <n v="36"/>
    <x v="2"/>
    <x v="3"/>
    <x v="2"/>
    <x v="4"/>
    <x v="44"/>
    <d v="2016-02-23T00:00:00"/>
    <x v="1"/>
    <x v="0"/>
    <n v="98612"/>
    <s v="A"/>
    <n v="1168"/>
    <x v="1"/>
    <x v="14"/>
    <n v="2"/>
    <s v="Excel Workshop"/>
    <x v="0"/>
    <s v="Certified Professional"/>
  </r>
  <r>
    <n v="9228"/>
    <s v="Robert Davis"/>
    <x v="1"/>
    <n v="41"/>
    <x v="2"/>
    <x v="4"/>
    <x v="3"/>
    <x v="1"/>
    <x v="45"/>
    <d v="2018-05-18T00:00:00"/>
    <x v="2"/>
    <x v="1"/>
    <n v="38201"/>
    <s v="A"/>
    <n v="7111"/>
    <x v="0"/>
    <x v="2"/>
    <n v="4"/>
    <s v="Leadership Training"/>
    <x v="3"/>
    <s v="None"/>
  </r>
  <r>
    <n v="8988"/>
    <s v="Daniel Brown MD"/>
    <x v="1"/>
    <n v="25"/>
    <x v="0"/>
    <x v="0"/>
    <x v="2"/>
    <x v="2"/>
    <x v="46"/>
    <d v="2024-03-09T00:00:00"/>
    <x v="2"/>
    <x v="1"/>
    <n v="92919"/>
    <s v="D"/>
    <n v="9497"/>
    <x v="0"/>
    <x v="5"/>
    <n v="2"/>
    <s v="None"/>
    <x v="3"/>
    <s v="Advanced Training"/>
  </r>
  <r>
    <n v="1952"/>
    <s v="Anna Payne"/>
    <x v="0"/>
    <n v="29"/>
    <x v="1"/>
    <x v="4"/>
    <x v="0"/>
    <x v="1"/>
    <x v="47"/>
    <d v="2024-03-27T00:00:00"/>
    <x v="0"/>
    <x v="2"/>
    <n v="45188"/>
    <s v="A"/>
    <n v="9591"/>
    <x v="2"/>
    <x v="12"/>
    <n v="3"/>
    <s v="Leadership Training"/>
    <x v="3"/>
    <s v="None"/>
  </r>
  <r>
    <n v="5760"/>
    <s v="Rhonda Pena"/>
    <x v="0"/>
    <n v="59"/>
    <x v="3"/>
    <x v="2"/>
    <x v="1"/>
    <x v="0"/>
    <x v="48"/>
    <d v="2019-12-23T00:00:00"/>
    <x v="0"/>
    <x v="1"/>
    <n v="34927"/>
    <s v="D"/>
    <n v="6996"/>
    <x v="2"/>
    <x v="4"/>
    <n v="1"/>
    <s v="Excel Workshop"/>
    <x v="0"/>
    <s v="Certified Professional"/>
  </r>
  <r>
    <n v="5742"/>
    <s v="Nicole Gonzalez"/>
    <x v="0"/>
    <n v="27"/>
    <x v="1"/>
    <x v="0"/>
    <x v="2"/>
    <x v="3"/>
    <x v="49"/>
    <d v="2016-08-25T00:00:00"/>
    <x v="0"/>
    <x v="1"/>
    <n v="33183"/>
    <s v="A"/>
    <n v="1659"/>
    <x v="1"/>
    <x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CBC503-E574-4EE1-839A-B706B2C4BF5D}" name="Employement"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B2:C5"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numFmtId="14"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x v="2"/>
    </i>
  </rowItems>
  <colItems count="1">
    <i/>
  </colItems>
  <dataFields count="1">
    <dataField name="Count of Full Name" fld="1" subtotal="count" baseField="0" baseItem="0"/>
  </dataFields>
  <formats count="12">
    <format dxfId="3817">
      <pivotArea type="all" dataOnly="0" outline="0" fieldPosition="0"/>
    </format>
    <format dxfId="3816">
      <pivotArea outline="0" collapsedLevelsAreSubtotals="1" fieldPosition="0"/>
    </format>
    <format dxfId="3815">
      <pivotArea field="10" type="button" dataOnly="0" labelOnly="1" outline="0" axis="axisRow" fieldPosition="0"/>
    </format>
    <format dxfId="3814">
      <pivotArea dataOnly="0" labelOnly="1" fieldPosition="0">
        <references count="1">
          <reference field="10" count="0"/>
        </references>
      </pivotArea>
    </format>
    <format dxfId="3813">
      <pivotArea dataOnly="0" labelOnly="1" grandRow="1" outline="0" fieldPosition="0"/>
    </format>
    <format dxfId="3812">
      <pivotArea dataOnly="0" labelOnly="1" outline="0" axis="axisValues" fieldPosition="0"/>
    </format>
    <format dxfId="3811">
      <pivotArea type="all" dataOnly="0" outline="0" fieldPosition="0"/>
    </format>
    <format dxfId="3810">
      <pivotArea outline="0" collapsedLevelsAreSubtotals="1" fieldPosition="0"/>
    </format>
    <format dxfId="3809">
      <pivotArea field="10" type="button" dataOnly="0" labelOnly="1" outline="0" axis="axisRow" fieldPosition="0"/>
    </format>
    <format dxfId="3808">
      <pivotArea dataOnly="0" labelOnly="1" fieldPosition="0">
        <references count="1">
          <reference field="10" count="0"/>
        </references>
      </pivotArea>
    </format>
    <format dxfId="3807">
      <pivotArea dataOnly="0" labelOnly="1" grandRow="1" outline="0" fieldPosition="0"/>
    </format>
    <format dxfId="38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B1153-A994-41D6-83F7-5D3D60BE92AA}" name="Gende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13:N16" firstHeaderRow="1" firstDataRow="1" firstDataCol="1"/>
  <pivotFields count="21">
    <pivotField showAll="0"/>
    <pivotField dataField="1" showAll="0"/>
    <pivotField axis="axisRow" showAll="0">
      <items count="3">
        <item x="0"/>
        <item x="1"/>
        <item t="default"/>
      </items>
    </pivotField>
    <pivotField showAll="0"/>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numFmtId="14"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Full Name" fld="1" subtotal="count" baseField="0" baseItem="0"/>
  </dataFields>
  <formats count="10">
    <format dxfId="3827">
      <pivotArea type="all" dataOnly="0" outline="0" fieldPosition="0"/>
    </format>
    <format dxfId="3826">
      <pivotArea outline="0" collapsedLevelsAreSubtotals="1" fieldPosition="0"/>
    </format>
    <format dxfId="3825">
      <pivotArea field="10" type="button" dataOnly="0" labelOnly="1" outline="0"/>
    </format>
    <format dxfId="3824">
      <pivotArea dataOnly="0" labelOnly="1" grandRow="1" outline="0" fieldPosition="0"/>
    </format>
    <format dxfId="3823">
      <pivotArea dataOnly="0" labelOnly="1" outline="0" axis="axisValues" fieldPosition="0"/>
    </format>
    <format dxfId="3822">
      <pivotArea type="all" dataOnly="0" outline="0" fieldPosition="0"/>
    </format>
    <format dxfId="3821">
      <pivotArea outline="0" collapsedLevelsAreSubtotals="1" fieldPosition="0"/>
    </format>
    <format dxfId="3820">
      <pivotArea field="10" type="button" dataOnly="0" labelOnly="1" outline="0"/>
    </format>
    <format dxfId="3819">
      <pivotArea dataOnly="0" labelOnly="1" grandRow="1" outline="0" fieldPosition="0"/>
    </format>
    <format dxfId="38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6CFBEC-859A-400D-BCC6-DC12FA51C1BB}" name="Skills"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S2:T7" firstHeaderRow="1" firstDataRow="1" firstDataCol="1"/>
  <pivotFields count="21">
    <pivotField showAll="0"/>
    <pivotField dataField="1" showAll="0"/>
    <pivotField showAll="0">
      <items count="3">
        <item x="0"/>
        <item x="1"/>
        <item t="default"/>
      </items>
    </pivotField>
    <pivotField showAll="0"/>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numFmtId="14"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5">
    <i>
      <x/>
    </i>
    <i>
      <x v="1"/>
    </i>
    <i>
      <x v="2"/>
    </i>
    <i>
      <x v="3"/>
    </i>
    <i>
      <x v="4"/>
    </i>
  </rowItems>
  <colItems count="1">
    <i/>
  </colItems>
  <dataFields count="1">
    <dataField name="Count of Full Name" fld="1" subtotal="count" baseField="0" baseItem="0"/>
  </dataFields>
  <formats count="10">
    <format dxfId="3837">
      <pivotArea type="all" dataOnly="0" outline="0" fieldPosition="0"/>
    </format>
    <format dxfId="3836">
      <pivotArea outline="0" collapsedLevelsAreSubtotals="1" fieldPosition="0"/>
    </format>
    <format dxfId="3835">
      <pivotArea field="10" type="button" dataOnly="0" labelOnly="1" outline="0"/>
    </format>
    <format dxfId="3834">
      <pivotArea dataOnly="0" labelOnly="1" grandRow="1" outline="0" fieldPosition="0"/>
    </format>
    <format dxfId="3833">
      <pivotArea dataOnly="0" labelOnly="1" outline="0" axis="axisValues" fieldPosition="0"/>
    </format>
    <format dxfId="3832">
      <pivotArea type="all" dataOnly="0" outline="0" fieldPosition="0"/>
    </format>
    <format dxfId="3831">
      <pivotArea outline="0" collapsedLevelsAreSubtotals="1" fieldPosition="0"/>
    </format>
    <format dxfId="3830">
      <pivotArea field="10" type="button" dataOnly="0" labelOnly="1" outline="0"/>
    </format>
    <format dxfId="3829">
      <pivotArea dataOnly="0" labelOnly="1" grandRow="1" outline="0" fieldPosition="0"/>
    </format>
    <format dxfId="38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0B6231-0AA3-4FFF-B0E6-17241E8812C4}" name="Level Taken"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D20:F25"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numFmtId="14" showAll="0"/>
    <pivotField showAll="0">
      <items count="4">
        <item x="1"/>
        <item x="0"/>
        <item x="2"/>
        <item t="default"/>
      </items>
    </pivotField>
    <pivotField showAll="0"/>
    <pivotField dataField="1" showAll="0"/>
    <pivotField showAll="0"/>
    <pivotField showAll="0"/>
    <pivotField showAll="0"/>
    <pivotField dataField="1" showAll="0">
      <items count="19">
        <item x="3"/>
        <item x="0"/>
        <item x="9"/>
        <item x="6"/>
        <item x="16"/>
        <item x="5"/>
        <item x="2"/>
        <item x="14"/>
        <item x="7"/>
        <item x="11"/>
        <item x="10"/>
        <item x="15"/>
        <item x="17"/>
        <item x="4"/>
        <item x="13"/>
        <item x="12"/>
        <item x="1"/>
        <item x="8"/>
        <item t="default"/>
      </items>
    </pivotField>
    <pivotField showAll="0"/>
    <pivotField showAll="0"/>
    <pivotField showAll="0"/>
    <pivotField showAll="0"/>
  </pivotFields>
  <rowFields count="1">
    <field x="6"/>
  </rowFields>
  <rowItems count="5">
    <i>
      <x/>
    </i>
    <i>
      <x v="1"/>
    </i>
    <i>
      <x v="2"/>
    </i>
    <i>
      <x v="3"/>
    </i>
    <i>
      <x v="4"/>
    </i>
  </rowItems>
  <colFields count="1">
    <field x="-2"/>
  </colFields>
  <colItems count="2">
    <i>
      <x/>
    </i>
    <i i="1">
      <x v="1"/>
    </i>
  </colItems>
  <dataFields count="2">
    <dataField name="Sum of Salary" fld="12" baseField="0" baseItem="0"/>
    <dataField name="Sum of Leave Taken" fld="16" baseField="0" baseItem="0"/>
  </dataFields>
  <formats count="10">
    <format dxfId="3847">
      <pivotArea type="all" dataOnly="0" outline="0" fieldPosition="0"/>
    </format>
    <format dxfId="3846">
      <pivotArea outline="0" collapsedLevelsAreSubtotals="1" fieldPosition="0"/>
    </format>
    <format dxfId="3845">
      <pivotArea field="10" type="button" dataOnly="0" labelOnly="1" outline="0"/>
    </format>
    <format dxfId="3844">
      <pivotArea dataOnly="0" labelOnly="1" grandRow="1" outline="0" fieldPosition="0"/>
    </format>
    <format dxfId="3843">
      <pivotArea dataOnly="0" labelOnly="1" outline="0" axis="axisValues" fieldPosition="0"/>
    </format>
    <format dxfId="3842">
      <pivotArea type="all" dataOnly="0" outline="0" fieldPosition="0"/>
    </format>
    <format dxfId="3841">
      <pivotArea outline="0" collapsedLevelsAreSubtotals="1" fieldPosition="0"/>
    </format>
    <format dxfId="3840">
      <pivotArea field="10" type="button" dataOnly="0" labelOnly="1" outline="0"/>
    </format>
    <format dxfId="3839">
      <pivotArea dataOnly="0" labelOnly="1" grandRow="1" outline="0" fieldPosition="0"/>
    </format>
    <format dxfId="38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7F62CD-8254-4088-8EDF-E708B7F31EBB}" name="Region"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H24:I29"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pivotField numFmtId="14" showAll="0"/>
    <pivotField showAll="0">
      <items count="4">
        <item x="1"/>
        <item x="0"/>
        <item x="2"/>
        <item t="default"/>
      </items>
    </pivotField>
    <pivotField showAll="0"/>
    <pivotField showAll="0"/>
    <pivotField showAll="0"/>
    <pivotField showAll="0"/>
    <pivotField showAll="0"/>
    <pivotField showAll="0">
      <items count="19">
        <item x="3"/>
        <item x="0"/>
        <item x="9"/>
        <item x="6"/>
        <item x="16"/>
        <item x="5"/>
        <item x="2"/>
        <item x="14"/>
        <item x="7"/>
        <item x="11"/>
        <item x="10"/>
        <item x="15"/>
        <item x="17"/>
        <item x="4"/>
        <item x="13"/>
        <item x="12"/>
        <item x="1"/>
        <item x="8"/>
        <item t="default"/>
      </items>
    </pivotField>
    <pivotField showAll="0"/>
    <pivotField showAll="0"/>
    <pivotField showAll="0"/>
    <pivotField showAll="0"/>
  </pivotFields>
  <rowFields count="1">
    <field x="5"/>
  </rowFields>
  <rowItems count="5">
    <i>
      <x/>
    </i>
    <i>
      <x v="1"/>
    </i>
    <i>
      <x v="2"/>
    </i>
    <i>
      <x v="3"/>
    </i>
    <i>
      <x v="4"/>
    </i>
  </rowItems>
  <colItems count="1">
    <i/>
  </colItems>
  <dataFields count="1">
    <dataField name="Count of Full Name" fld="1" subtotal="count" baseField="0" baseItem="0"/>
  </dataFields>
  <formats count="10">
    <format dxfId="3857">
      <pivotArea type="all" dataOnly="0" outline="0" fieldPosition="0"/>
    </format>
    <format dxfId="3856">
      <pivotArea outline="0" collapsedLevelsAreSubtotals="1" fieldPosition="0"/>
    </format>
    <format dxfId="3855">
      <pivotArea field="10" type="button" dataOnly="0" labelOnly="1" outline="0"/>
    </format>
    <format dxfId="3854">
      <pivotArea dataOnly="0" labelOnly="1" grandRow="1" outline="0" fieldPosition="0"/>
    </format>
    <format dxfId="3853">
      <pivotArea dataOnly="0" labelOnly="1" outline="0" axis="axisValues" fieldPosition="0"/>
    </format>
    <format dxfId="3852">
      <pivotArea type="all" dataOnly="0" outline="0" fieldPosition="0"/>
    </format>
    <format dxfId="3851">
      <pivotArea outline="0" collapsedLevelsAreSubtotals="1" fieldPosition="0"/>
    </format>
    <format dxfId="3850">
      <pivotArea field="10" type="button" dataOnly="0" labelOnly="1" outline="0"/>
    </format>
    <format dxfId="3849">
      <pivotArea dataOnly="0" labelOnly="1" grandRow="1" outline="0" fieldPosition="0"/>
    </format>
    <format dxfId="38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144FDC-96AE-4A62-8099-D588A23DC910}" name="Department"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 Dept">
  <location ref="K24:L29" firstHeaderRow="1" firstDataRow="1" firstDataCol="1"/>
  <pivotFields count="21">
    <pivotField showAll="0"/>
    <pivotField showAll="0"/>
    <pivotField showAll="0">
      <items count="3">
        <item x="0"/>
        <item x="1"/>
        <item t="default"/>
      </items>
    </pivotField>
    <pivotField showAll="0"/>
    <pivotField showAll="0"/>
    <pivotField showAll="0">
      <items count="6">
        <item x="1"/>
        <item x="0"/>
        <item x="4"/>
        <item x="3"/>
        <item x="2"/>
        <item t="default"/>
      </items>
    </pivotField>
    <pivotField showAll="0">
      <items count="6">
        <item x="4"/>
        <item x="1"/>
        <item x="3"/>
        <item x="2"/>
        <item x="0"/>
        <item t="default"/>
      </items>
    </pivotField>
    <pivotField axis="axisRow" showAll="0">
      <items count="6">
        <item x="0"/>
        <item x="1"/>
        <item x="4"/>
        <item x="2"/>
        <item x="3"/>
        <item t="default"/>
      </items>
    </pivotField>
    <pivotField showAll="0"/>
    <pivotField numFmtId="14" showAll="0"/>
    <pivotField showAll="0">
      <items count="4">
        <item x="1"/>
        <item x="0"/>
        <item x="2"/>
        <item t="default"/>
      </items>
    </pivotField>
    <pivotField showAll="0"/>
    <pivotField showAll="0"/>
    <pivotField showAll="0"/>
    <pivotField showAll="0"/>
    <pivotField showAll="0"/>
    <pivotField showAll="0">
      <items count="19">
        <item x="3"/>
        <item x="0"/>
        <item x="9"/>
        <item x="6"/>
        <item x="16"/>
        <item x="5"/>
        <item x="2"/>
        <item x="14"/>
        <item x="7"/>
        <item x="11"/>
        <item x="10"/>
        <item x="15"/>
        <item x="17"/>
        <item x="4"/>
        <item x="13"/>
        <item x="12"/>
        <item x="1"/>
        <item x="8"/>
        <item t="default"/>
      </items>
    </pivotField>
    <pivotField dataField="1" showAll="0"/>
    <pivotField showAll="0"/>
    <pivotField showAll="0"/>
    <pivotField showAll="0"/>
  </pivotFields>
  <rowFields count="1">
    <field x="7"/>
  </rowFields>
  <rowItems count="5">
    <i>
      <x/>
    </i>
    <i>
      <x v="1"/>
    </i>
    <i>
      <x v="2"/>
    </i>
    <i>
      <x v="3"/>
    </i>
    <i>
      <x v="4"/>
    </i>
  </rowItems>
  <colItems count="1">
    <i/>
  </colItems>
  <dataFields count="1">
    <dataField name="Average of Performance Rating" fld="17" subtotal="average" baseField="7" baseItem="0" numFmtId="165"/>
  </dataFields>
  <formats count="11">
    <format dxfId="3868">
      <pivotArea type="all" dataOnly="0" outline="0" fieldPosition="0"/>
    </format>
    <format dxfId="3867">
      <pivotArea outline="0" collapsedLevelsAreSubtotals="1" fieldPosition="0"/>
    </format>
    <format dxfId="3866">
      <pivotArea field="10" type="button" dataOnly="0" labelOnly="1" outline="0"/>
    </format>
    <format dxfId="3865">
      <pivotArea dataOnly="0" labelOnly="1" grandRow="1" outline="0" fieldPosition="0"/>
    </format>
    <format dxfId="3864">
      <pivotArea dataOnly="0" labelOnly="1" outline="0" axis="axisValues" fieldPosition="0"/>
    </format>
    <format dxfId="3863">
      <pivotArea type="all" dataOnly="0" outline="0" fieldPosition="0"/>
    </format>
    <format dxfId="3862">
      <pivotArea outline="0" collapsedLevelsAreSubtotals="1" fieldPosition="0"/>
    </format>
    <format dxfId="3861">
      <pivotArea field="10" type="button" dataOnly="0" labelOnly="1" outline="0"/>
    </format>
    <format dxfId="3860">
      <pivotArea dataOnly="0" labelOnly="1" grandRow="1" outline="0" fieldPosition="0"/>
    </format>
    <format dxfId="3859">
      <pivotArea dataOnly="0" labelOnly="1" outline="0" axis="axisValues" fieldPosition="0"/>
    </format>
    <format dxfId="38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9733CE-9C33-418A-9F11-EEBFEC2BD685}" name="Work Location"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M2:N5" firstHeaderRow="1" firstDataRow="1" firstDataCol="1"/>
  <pivotFields count="21">
    <pivotField showAll="0"/>
    <pivotField dataField="1" showAll="0"/>
    <pivotField showAll="0">
      <items count="3">
        <item x="0"/>
        <item x="1"/>
        <item t="default"/>
      </items>
    </pivotField>
    <pivotField showAll="0"/>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numFmtId="14" showAll="0"/>
    <pivotField showAll="0">
      <items count="4">
        <item x="1"/>
        <item x="0"/>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3">
    <i>
      <x/>
    </i>
    <i>
      <x v="1"/>
    </i>
    <i>
      <x v="2"/>
    </i>
  </rowItems>
  <colItems count="1">
    <i/>
  </colItems>
  <dataFields count="1">
    <dataField name="Count of Full Name" fld="1" subtotal="count" baseField="0" baseItem="0"/>
  </dataFields>
  <formats count="10">
    <format dxfId="3878">
      <pivotArea type="all" dataOnly="0" outline="0" fieldPosition="0"/>
    </format>
    <format dxfId="3877">
      <pivotArea outline="0" collapsedLevelsAreSubtotals="1" fieldPosition="0"/>
    </format>
    <format dxfId="3876">
      <pivotArea field="10" type="button" dataOnly="0" labelOnly="1" outline="0"/>
    </format>
    <format dxfId="3875">
      <pivotArea dataOnly="0" labelOnly="1" grandRow="1" outline="0" fieldPosition="0"/>
    </format>
    <format dxfId="3874">
      <pivotArea dataOnly="0" labelOnly="1" outline="0" axis="axisValues" fieldPosition="0"/>
    </format>
    <format dxfId="3873">
      <pivotArea type="all" dataOnly="0" outline="0" fieldPosition="0"/>
    </format>
    <format dxfId="3872">
      <pivotArea outline="0" collapsedLevelsAreSubtotals="1" fieldPosition="0"/>
    </format>
    <format dxfId="3871">
      <pivotArea field="10" type="button" dataOnly="0" labelOnly="1" outline="0"/>
    </format>
    <format dxfId="3870">
      <pivotArea dataOnly="0" labelOnly="1" grandRow="1" outline="0" fieldPosition="0"/>
    </format>
    <format dxfId="38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8C6A88-3A85-4A0F-B604-B85130E989D3}" name="Employee in Dept"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Department">
  <location ref="N48:O53" firstHeaderRow="1" firstDataRow="1" firstDataCol="1"/>
  <pivotFields count="21">
    <pivotField showAll="0"/>
    <pivotField dataField="1" showAll="0"/>
    <pivotField showAll="0">
      <items count="3">
        <item x="0"/>
        <item x="1"/>
        <item t="default"/>
      </items>
    </pivotField>
    <pivotField showAll="0"/>
    <pivotField showAll="0"/>
    <pivotField showAll="0">
      <items count="6">
        <item x="1"/>
        <item x="0"/>
        <item x="4"/>
        <item x="3"/>
        <item x="2"/>
        <item t="default"/>
      </items>
    </pivotField>
    <pivotField showAll="0">
      <items count="6">
        <item x="4"/>
        <item x="1"/>
        <item x="3"/>
        <item x="2"/>
        <item x="0"/>
        <item t="default"/>
      </items>
    </pivotField>
    <pivotField axis="axisRow" showAll="0">
      <items count="6">
        <item x="0"/>
        <item x="1"/>
        <item x="4"/>
        <item x="2"/>
        <item x="3"/>
        <item t="default"/>
      </items>
    </pivotField>
    <pivotField showAll="0">
      <items count="51">
        <item x="40"/>
        <item x="26"/>
        <item x="13"/>
        <item x="17"/>
        <item x="12"/>
        <item x="10"/>
        <item x="15"/>
        <item x="1"/>
        <item x="27"/>
        <item x="11"/>
        <item x="2"/>
        <item x="22"/>
        <item x="41"/>
        <item x="29"/>
        <item x="5"/>
        <item x="20"/>
        <item x="16"/>
        <item x="43"/>
        <item x="46"/>
        <item x="3"/>
        <item x="21"/>
        <item x="37"/>
        <item x="35"/>
        <item x="44"/>
        <item x="39"/>
        <item x="24"/>
        <item x="31"/>
        <item x="30"/>
        <item x="38"/>
        <item x="34"/>
        <item x="9"/>
        <item x="0"/>
        <item x="23"/>
        <item x="48"/>
        <item x="19"/>
        <item x="36"/>
        <item x="6"/>
        <item x="4"/>
        <item x="14"/>
        <item x="33"/>
        <item x="7"/>
        <item x="49"/>
        <item x="45"/>
        <item x="25"/>
        <item x="42"/>
        <item x="32"/>
        <item x="28"/>
        <item x="8"/>
        <item x="47"/>
        <item x="18"/>
        <item t="default"/>
      </items>
    </pivotField>
    <pivotField numFmtId="14" showAll="0"/>
    <pivotField showAll="0">
      <items count="4">
        <item x="1"/>
        <item x="0"/>
        <item x="2"/>
        <item t="default"/>
      </items>
    </pivotField>
    <pivotField showAll="0"/>
    <pivotField showAll="0"/>
    <pivotField showAll="0"/>
    <pivotField showAll="0"/>
    <pivotField showAll="0">
      <items count="4">
        <item x="0"/>
        <item x="2"/>
        <item x="1"/>
        <item t="default"/>
      </items>
    </pivotField>
    <pivotField showAll="0">
      <items count="19">
        <item x="3"/>
        <item x="0"/>
        <item x="9"/>
        <item x="6"/>
        <item x="16"/>
        <item x="5"/>
        <item x="2"/>
        <item x="14"/>
        <item x="7"/>
        <item x="11"/>
        <item x="10"/>
        <item x="15"/>
        <item x="17"/>
        <item x="4"/>
        <item x="13"/>
        <item x="12"/>
        <item x="1"/>
        <item x="8"/>
        <item t="default"/>
      </items>
    </pivotField>
    <pivotField showAll="0"/>
    <pivotField showAll="0"/>
    <pivotField showAll="0"/>
    <pivotField showAll="0"/>
  </pivotFields>
  <rowFields count="1">
    <field x="7"/>
  </rowFields>
  <rowItems count="5">
    <i>
      <x/>
    </i>
    <i>
      <x v="1"/>
    </i>
    <i>
      <x v="2"/>
    </i>
    <i>
      <x v="3"/>
    </i>
    <i>
      <x v="4"/>
    </i>
  </rowItems>
  <colItems count="1">
    <i/>
  </colItems>
  <dataFields count="1">
    <dataField name="Count of Full Name" fld="1" subtotal="count" baseField="0" baseItem="0"/>
  </dataFields>
  <formats count="11">
    <format dxfId="3889">
      <pivotArea type="all" dataOnly="0" outline="0" fieldPosition="0"/>
    </format>
    <format dxfId="3888">
      <pivotArea outline="0" collapsedLevelsAreSubtotals="1" fieldPosition="0"/>
    </format>
    <format dxfId="3887">
      <pivotArea field="10" type="button" dataOnly="0" labelOnly="1" outline="0"/>
    </format>
    <format dxfId="3886">
      <pivotArea dataOnly="0" labelOnly="1" grandRow="1" outline="0" fieldPosition="0"/>
    </format>
    <format dxfId="3885">
      <pivotArea dataOnly="0" labelOnly="1" outline="0" axis="axisValues" fieldPosition="0"/>
    </format>
    <format dxfId="3884">
      <pivotArea type="all" dataOnly="0" outline="0" fieldPosition="0"/>
    </format>
    <format dxfId="3883">
      <pivotArea outline="0" collapsedLevelsAreSubtotals="1" fieldPosition="0"/>
    </format>
    <format dxfId="3882">
      <pivotArea field="10" type="button" dataOnly="0" labelOnly="1" outline="0"/>
    </format>
    <format dxfId="3881">
      <pivotArea dataOnly="0" labelOnly="1" grandRow="1" outline="0" fieldPosition="0"/>
    </format>
    <format dxfId="3880">
      <pivotArea dataOnly="0" labelOnly="1" outline="0" axis="axisValues" fieldPosition="0"/>
    </format>
    <format dxfId="38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6B00EF-7B5D-4401-8996-50DC4540C608}"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Employment Status">
  <location ref="N36:O39" firstHeaderRow="1" firstDataRow="1" firstDataCol="1"/>
  <pivotFields count="21">
    <pivotField showAll="0"/>
    <pivotField showAll="0"/>
    <pivotField showAll="0">
      <items count="3">
        <item x="0"/>
        <item x="1"/>
        <item t="default"/>
      </items>
    </pivotField>
    <pivotField showAll="0"/>
    <pivotField showAll="0"/>
    <pivotField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pivotField numFmtId="14"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4">
        <item x="0"/>
        <item x="2"/>
        <item x="1"/>
        <item t="default"/>
      </items>
    </pivotField>
    <pivotField showAll="0">
      <items count="19">
        <item x="3"/>
        <item x="0"/>
        <item x="9"/>
        <item x="6"/>
        <item x="16"/>
        <item x="5"/>
        <item x="2"/>
        <item x="14"/>
        <item x="7"/>
        <item x="11"/>
        <item x="10"/>
        <item x="15"/>
        <item x="17"/>
        <item x="4"/>
        <item x="13"/>
        <item x="12"/>
        <item x="1"/>
        <item x="8"/>
        <item t="default"/>
      </items>
    </pivotField>
    <pivotField showAll="0"/>
    <pivotField showAll="0"/>
    <pivotField showAll="0"/>
    <pivotField showAll="0"/>
  </pivotFields>
  <rowFields count="1">
    <field x="10"/>
  </rowFields>
  <rowItems count="3">
    <i>
      <x v="1"/>
    </i>
    <i>
      <x/>
    </i>
    <i>
      <x v="2"/>
    </i>
  </rowItems>
  <colItems count="1">
    <i/>
  </colItems>
  <dataFields count="1">
    <dataField name="Sum of Salary" fld="12" baseField="0" baseItem="0" numFmtId="166"/>
  </dataFields>
  <formats count="11">
    <format dxfId="3900">
      <pivotArea type="all" dataOnly="0" outline="0" fieldPosition="0"/>
    </format>
    <format dxfId="3899">
      <pivotArea outline="0" collapsedLevelsAreSubtotals="1" fieldPosition="0"/>
    </format>
    <format dxfId="3898">
      <pivotArea field="10" type="button" dataOnly="0" labelOnly="1" outline="0" axis="axisRow" fieldPosition="0"/>
    </format>
    <format dxfId="3897">
      <pivotArea dataOnly="0" labelOnly="1" grandRow="1" outline="0" fieldPosition="0"/>
    </format>
    <format dxfId="3896">
      <pivotArea dataOnly="0" labelOnly="1" outline="0" axis="axisValues" fieldPosition="0"/>
    </format>
    <format dxfId="3895">
      <pivotArea type="all" dataOnly="0" outline="0" fieldPosition="0"/>
    </format>
    <format dxfId="3894">
      <pivotArea outline="0" collapsedLevelsAreSubtotals="1" fieldPosition="0"/>
    </format>
    <format dxfId="3893">
      <pivotArea field="10" type="button" dataOnly="0" labelOnly="1" outline="0" axis="axisRow" fieldPosition="0"/>
    </format>
    <format dxfId="3892">
      <pivotArea dataOnly="0" labelOnly="1" grandRow="1" outline="0" fieldPosition="0"/>
    </format>
    <format dxfId="3891">
      <pivotArea dataOnly="0" labelOnly="1" outline="0" axis="axisValues" fieldPosition="0"/>
    </format>
    <format dxfId="38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8C48D7-B49E-4F6D-A6BA-112BBA1BA8D6}" name="Age Rang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H2:K9"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items count="6">
        <item x="4"/>
        <item x="1"/>
        <item x="3"/>
        <item x="2"/>
        <item x="0"/>
        <item t="default"/>
      </items>
    </pivotField>
    <pivotField showAll="0">
      <items count="6">
        <item x="0"/>
        <item x="1"/>
        <item x="4"/>
        <item x="2"/>
        <item x="3"/>
        <item t="default"/>
      </items>
    </pivotField>
    <pivotField showAll="0"/>
    <pivotField numFmtId="14"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formats count="10">
    <format dxfId="3910">
      <pivotArea type="all" dataOnly="0" outline="0" fieldPosition="0"/>
    </format>
    <format dxfId="3909">
      <pivotArea outline="0" collapsedLevelsAreSubtotals="1" fieldPosition="0"/>
    </format>
    <format dxfId="3908">
      <pivotArea field="10" type="button" dataOnly="0" labelOnly="1" outline="0"/>
    </format>
    <format dxfId="3907">
      <pivotArea dataOnly="0" labelOnly="1" grandRow="1" outline="0" fieldPosition="0"/>
    </format>
    <format dxfId="3906">
      <pivotArea dataOnly="0" labelOnly="1" outline="0" axis="axisValues" fieldPosition="0"/>
    </format>
    <format dxfId="3905">
      <pivotArea type="all" dataOnly="0" outline="0" fieldPosition="0"/>
    </format>
    <format dxfId="3904">
      <pivotArea outline="0" collapsedLevelsAreSubtotals="1" fieldPosition="0"/>
    </format>
    <format dxfId="3903">
      <pivotArea field="10" type="button" dataOnly="0" labelOnly="1" outline="0"/>
    </format>
    <format dxfId="3902">
      <pivotArea dataOnly="0" labelOnly="1" grandRow="1" outline="0" fieldPosition="0"/>
    </format>
    <format dxfId="3901">
      <pivotArea dataOnly="0" labelOnly="1" outline="0" axis="axisValues" fieldPosition="0"/>
    </format>
  </formats>
  <chartFormats count="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EDEAB1-3B3C-43D3-B700-20F967E6A3EA}" name="Salarie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2:F8" firstHeaderRow="1"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numFmtId="14" showAll="0"/>
    <pivotField showAll="0">
      <items count="4">
        <item x="1"/>
        <item x="0"/>
        <item x="2"/>
        <item t="default"/>
      </items>
    </pivotField>
    <pivotField showAll="0"/>
    <pivotField dataField="1" showAll="0"/>
    <pivotField showAll="0"/>
    <pivotField showAll="0"/>
    <pivotField showAll="0"/>
    <pivotField showAll="0">
      <items count="19">
        <item x="3"/>
        <item x="0"/>
        <item x="9"/>
        <item x="6"/>
        <item x="16"/>
        <item x="5"/>
        <item x="2"/>
        <item x="14"/>
        <item x="7"/>
        <item x="11"/>
        <item x="10"/>
        <item x="15"/>
        <item x="17"/>
        <item x="4"/>
        <item x="13"/>
        <item x="12"/>
        <item x="1"/>
        <item x="8"/>
        <item t="default"/>
      </items>
    </pivotField>
    <pivotField showAll="0"/>
    <pivotField showAll="0"/>
    <pivotField showAll="0"/>
    <pivotField showAll="0"/>
  </pivotFields>
  <rowFields count="1">
    <field x="6"/>
  </rowFields>
  <rowItems count="6">
    <i>
      <x/>
    </i>
    <i>
      <x v="1"/>
    </i>
    <i>
      <x v="2"/>
    </i>
    <i>
      <x v="3"/>
    </i>
    <i>
      <x v="4"/>
    </i>
    <i t="grand">
      <x/>
    </i>
  </rowItems>
  <colItems count="1">
    <i/>
  </colItems>
  <dataFields count="1">
    <dataField name="Sum of Salary" fld="12" baseField="0" baseItem="0"/>
  </dataFields>
  <formats count="10">
    <format dxfId="3920">
      <pivotArea type="all" dataOnly="0" outline="0" fieldPosition="0"/>
    </format>
    <format dxfId="3919">
      <pivotArea outline="0" collapsedLevelsAreSubtotals="1" fieldPosition="0"/>
    </format>
    <format dxfId="3918">
      <pivotArea field="10" type="button" dataOnly="0" labelOnly="1" outline="0"/>
    </format>
    <format dxfId="3917">
      <pivotArea dataOnly="0" labelOnly="1" grandRow="1" outline="0" fieldPosition="0"/>
    </format>
    <format dxfId="3916">
      <pivotArea dataOnly="0" labelOnly="1" outline="0" axis="axisValues" fieldPosition="0"/>
    </format>
    <format dxfId="3915">
      <pivotArea type="all" dataOnly="0" outline="0" fieldPosition="0"/>
    </format>
    <format dxfId="3914">
      <pivotArea outline="0" collapsedLevelsAreSubtotals="1" fieldPosition="0"/>
    </format>
    <format dxfId="3913">
      <pivotArea field="10" type="button" dataOnly="0" labelOnly="1" outline="0"/>
    </format>
    <format dxfId="3912">
      <pivotArea dataOnly="0" labelOnly="1" grandRow="1" outline="0" fieldPosition="0"/>
    </format>
    <format dxfId="39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E25B53-92B3-40C5-9376-3300BEC0BCBC}" name="Insurance Details"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 Insurance">
  <location ref="N24:O27" firstHeaderRow="1" firstDataRow="1" firstDataCol="1"/>
  <pivotFields count="21">
    <pivotField showAll="0"/>
    <pivotField dataField="1" showAll="0"/>
    <pivotField showAll="0">
      <items count="3">
        <item x="0"/>
        <item x="1"/>
        <item t="default"/>
      </items>
    </pivotField>
    <pivotField showAll="0"/>
    <pivotField showAll="0"/>
    <pivotField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pivotField numFmtId="14" showAll="0"/>
    <pivotField showAll="0">
      <items count="4">
        <item x="1"/>
        <item x="0"/>
        <item x="2"/>
        <item t="default"/>
      </items>
    </pivotField>
    <pivotField showAll="0"/>
    <pivotField showAll="0"/>
    <pivotField showAll="0"/>
    <pivotField showAll="0"/>
    <pivotField axis="axisRow" showAll="0">
      <items count="4">
        <item x="0"/>
        <item x="2"/>
        <item x="1"/>
        <item t="default"/>
      </items>
    </pivotField>
    <pivotField showAll="0">
      <items count="19">
        <item x="3"/>
        <item x="0"/>
        <item x="9"/>
        <item x="6"/>
        <item x="16"/>
        <item x="5"/>
        <item x="2"/>
        <item x="14"/>
        <item x="7"/>
        <item x="11"/>
        <item x="10"/>
        <item x="15"/>
        <item x="17"/>
        <item x="4"/>
        <item x="13"/>
        <item x="12"/>
        <item x="1"/>
        <item x="8"/>
        <item t="default"/>
      </items>
    </pivotField>
    <pivotField showAll="0"/>
    <pivotField showAll="0"/>
    <pivotField showAll="0"/>
    <pivotField showAll="0"/>
  </pivotFields>
  <rowFields count="1">
    <field x="15"/>
  </rowFields>
  <rowItems count="3">
    <i>
      <x/>
    </i>
    <i>
      <x v="1"/>
    </i>
    <i>
      <x v="2"/>
    </i>
  </rowItems>
  <colItems count="1">
    <i/>
  </colItems>
  <dataFields count="1">
    <dataField name="Count of Full Name" fld="1" subtotal="count" baseField="0" baseItem="0" numFmtId="1"/>
  </dataFields>
  <formats count="11">
    <format dxfId="3931">
      <pivotArea type="all" dataOnly="0" outline="0" fieldPosition="0"/>
    </format>
    <format dxfId="3930">
      <pivotArea outline="0" collapsedLevelsAreSubtotals="1" fieldPosition="0"/>
    </format>
    <format dxfId="3929">
      <pivotArea field="10" type="button" dataOnly="0" labelOnly="1" outline="0"/>
    </format>
    <format dxfId="3928">
      <pivotArea dataOnly="0" labelOnly="1" grandRow="1" outline="0" fieldPosition="0"/>
    </format>
    <format dxfId="3927">
      <pivotArea dataOnly="0" labelOnly="1" outline="0" axis="axisValues" fieldPosition="0"/>
    </format>
    <format dxfId="3926">
      <pivotArea type="all" dataOnly="0" outline="0" fieldPosition="0"/>
    </format>
    <format dxfId="3925">
      <pivotArea outline="0" collapsedLevelsAreSubtotals="1" fieldPosition="0"/>
    </format>
    <format dxfId="3924">
      <pivotArea field="10" type="button" dataOnly="0" labelOnly="1" outline="0"/>
    </format>
    <format dxfId="3923">
      <pivotArea dataOnly="0" labelOnly="1" grandRow="1" outline="0" fieldPosition="0"/>
    </format>
    <format dxfId="3922">
      <pivotArea dataOnly="0" labelOnly="1" outline="0" axis="axisValues" fieldPosition="0"/>
    </format>
    <format dxfId="39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130EFC-EE90-4237-97D6-690A70D525C4}" autoFormatId="16" applyNumberFormats="0" applyBorderFormats="0" applyFontFormats="0" applyPatternFormats="0" applyAlignmentFormats="0" applyWidthHeightFormats="0">
  <queryTableRefresh nextId="22">
    <queryTableFields count="21">
      <queryTableField id="1" name="Employee ID" tableColumnId="1"/>
      <queryTableField id="2" name="Full Name" tableColumnId="2"/>
      <queryTableField id="3" name="Gender" tableColumnId="3"/>
      <queryTableField id="4" name="Age" tableColumnId="4"/>
      <queryTableField id="5" name="Age range" tableColumnId="5"/>
      <queryTableField id="6" name="Region" tableColumnId="6"/>
      <queryTableField id="7" name="Job Title" tableColumnId="7"/>
      <queryTableField id="8" name="Department" tableColumnId="8"/>
      <queryTableField id="9" name="Manager/Supervisor" tableColumnId="9"/>
      <queryTableField id="10" name="Date of Hire" tableColumnId="10"/>
      <queryTableField id="11" name="Employment Status" tableColumnId="11"/>
      <queryTableField id="12" name="Work Location" tableColumnId="12"/>
      <queryTableField id="13" name="Salary" tableColumnId="13"/>
      <queryTableField id="14" name="Pay Grade" tableColumnId="14"/>
      <queryTableField id="15" name="Bonus/Allowances" tableColumnId="15"/>
      <queryTableField id="16" name="Insurance Details" tableColumnId="16"/>
      <queryTableField id="17" name="Leave Taken" tableColumnId="17"/>
      <queryTableField id="18" name="Performance Rating" tableColumnId="18"/>
      <queryTableField id="19" name="Training Programs Attended" tableColumnId="19"/>
      <queryTableField id="20" name="Skills" tableColumnId="20"/>
      <queryTableField id="21" name="Certifications"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30911E1-B601-4A50-A666-52DA375554B2}" sourceName="Gender">
  <pivotTables>
    <pivotTable tabId="2" name="Department"/>
    <pivotTable tabId="2" name="Age Range"/>
    <pivotTable tabId="2" name="Employement"/>
    <pivotTable tabId="2" name="Level Taken"/>
    <pivotTable tabId="2" name="Region"/>
    <pivotTable tabId="2" name="Salaries"/>
    <pivotTable tabId="2" name="Skills"/>
    <pivotTable tabId="2" name="Work Location"/>
    <pivotTable tabId="2" name="Insurance Details"/>
    <pivotTable tabId="2" name="PivotTable1"/>
    <pivotTable tabId="2" name="Employee in Dept"/>
  </pivotTables>
  <data>
    <tabular pivotCacheId="9360636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C78A04F-C48F-4B32-B9B7-8A7430C7787E}" sourceName="Department">
  <pivotTables>
    <pivotTable tabId="2" name="Department"/>
    <pivotTable tabId="2" name="Age Range"/>
    <pivotTable tabId="2" name="Employement"/>
    <pivotTable tabId="2" name="Level Taken"/>
    <pivotTable tabId="2" name="Region"/>
    <pivotTable tabId="2" name="Salaries"/>
    <pivotTable tabId="2" name="Skills"/>
    <pivotTable tabId="2" name="Work Location"/>
    <pivotTable tabId="2" name="Gender"/>
    <pivotTable tabId="2" name="Insurance Details"/>
    <pivotTable tabId="2" name="PivotTable1"/>
    <pivotTable tabId="2" name="Employee in Dept"/>
  </pivotTables>
  <data>
    <tabular pivotCacheId="936063678">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7AA5A03-B7B6-40F9-83D4-8946358BE162}"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165A831-4D80-4B17-AAC6-0C4C25D725CB}" cache="Slicer_Gender" caption="Gender" columnCount="2" style="Slicer Style 1 3 3 2 2 2 2 2 2 2 5" rowHeight="241300"/>
  <slicer name="Department" xr10:uid="{4F5ADA8F-5780-435F-BF46-72C31025EB1B}" cache="Slicer_Department" caption="Department" columnCount="3" style="Slicer Style 1 3 3 2 2 2 2 2 2 2 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8EECAB-FBF1-44A9-AC44-3751B3DC12D5}" name="Data" displayName="Data" ref="A1:U51" tableType="queryTable" totalsRowShown="0" headerRowDxfId="3954" dataDxfId="3953">
  <autoFilter ref="A1:U51" xr:uid="{1C8EECAB-FBF1-44A9-AC44-3751B3DC12D5}"/>
  <tableColumns count="21">
    <tableColumn id="1" xr3:uid="{B4E42997-D7B9-4796-92C6-7BA12C8784E9}" uniqueName="1" name="Employee ID" queryTableFieldId="1" dataDxfId="3952"/>
    <tableColumn id="2" xr3:uid="{0311EF92-6315-46B7-AAFA-ABF0359D7DC8}" uniqueName="2" name="Full Name" queryTableFieldId="2" dataDxfId="3951"/>
    <tableColumn id="3" xr3:uid="{E1CF11C1-4776-4F98-8FCD-04CF6DC05A10}" uniqueName="3" name="Gender" queryTableFieldId="3" dataDxfId="3950"/>
    <tableColumn id="4" xr3:uid="{018E0030-A040-4A50-9134-D47437D86459}" uniqueName="4" name="Age" queryTableFieldId="4" dataDxfId="3949"/>
    <tableColumn id="5" xr3:uid="{BC9544E4-3D42-4247-8F97-2AC62953AFC7}" uniqueName="5" name="Age range" queryTableFieldId="5" dataDxfId="3948"/>
    <tableColumn id="6" xr3:uid="{95188275-26DD-4B4B-9A33-C3AE698E323A}" uniqueName="6" name="Region" queryTableFieldId="6" dataDxfId="3947"/>
    <tableColumn id="7" xr3:uid="{0755E405-21C5-43AD-B201-E293EDE0EDAF}" uniqueName="7" name="Job Title" queryTableFieldId="7" dataDxfId="3946"/>
    <tableColumn id="8" xr3:uid="{AA879717-8542-4420-9FDC-125E3E03DAA0}" uniqueName="8" name="Department" queryTableFieldId="8" dataDxfId="3945"/>
    <tableColumn id="9" xr3:uid="{375581BA-56BD-4F29-B7DF-0823467F7003}" uniqueName="9" name="Manager/Supervisor" queryTableFieldId="9" dataDxfId="3944"/>
    <tableColumn id="10" xr3:uid="{0EABFDD7-37DB-43F2-84C4-69D33614C46E}" uniqueName="10" name="Date of Hire" queryTableFieldId="10" dataDxfId="3943"/>
    <tableColumn id="11" xr3:uid="{A10DC4C5-3C60-4F6E-9C4C-83A107EBBE56}" uniqueName="11" name="Employment Status" queryTableFieldId="11" dataDxfId="3942"/>
    <tableColumn id="12" xr3:uid="{89749FD8-EC40-480C-90CE-22BB06CF9DE3}" uniqueName="12" name="Work Location" queryTableFieldId="12" dataDxfId="3941"/>
    <tableColumn id="13" xr3:uid="{90820EB1-6099-40F2-80A9-DC227F74D529}" uniqueName="13" name="Salary" queryTableFieldId="13" dataDxfId="3940"/>
    <tableColumn id="14" xr3:uid="{99DF81D3-4EBA-404C-90C7-91DA6E00499C}" uniqueName="14" name="Pay Grade" queryTableFieldId="14" dataDxfId="3939"/>
    <tableColumn id="15" xr3:uid="{2FBD886E-E185-487E-BBB9-52AB4A4A9F78}" uniqueName="15" name="Bonus/Allowances" queryTableFieldId="15" dataDxfId="3938"/>
    <tableColumn id="16" xr3:uid="{75E76A26-B468-4392-8AEB-AE6BFAB3ADA2}" uniqueName="16" name="Insurance Details" queryTableFieldId="16" dataDxfId="3937"/>
    <tableColumn id="17" xr3:uid="{4A9A226D-E41E-4653-87C6-7617D04C5AA3}" uniqueName="17" name="Leave Taken" queryTableFieldId="17" dataDxfId="3936"/>
    <tableColumn id="18" xr3:uid="{33AED2CA-EF70-4100-9C0A-A1377E0E73D4}" uniqueName="18" name="Performance Rating" queryTableFieldId="18" dataDxfId="3935"/>
    <tableColumn id="19" xr3:uid="{3140390A-B156-463F-84AE-7C4D713D6069}" uniqueName="19" name="Training Programs Attended" queryTableFieldId="19" dataDxfId="3934"/>
    <tableColumn id="20" xr3:uid="{DEA2D5F9-E5A2-4871-8BC5-5CE7A2F33E73}" uniqueName="20" name="Skills" queryTableFieldId="20" dataDxfId="3933"/>
    <tableColumn id="21" xr3:uid="{9DCAEC74-8500-4856-A65A-72E2B79269DA}" uniqueName="21" name="Certifications" queryTableFieldId="21" dataDxfId="39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1"/>
  <sheetViews>
    <sheetView workbookViewId="0">
      <selection activeCell="AA11" sqref="AA11"/>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4294</v>
      </c>
      <c r="B2" t="s">
        <v>21</v>
      </c>
      <c r="C2" t="s">
        <v>22</v>
      </c>
      <c r="D2">
        <v>25</v>
      </c>
      <c r="E2" t="s">
        <v>23</v>
      </c>
      <c r="F2" t="s">
        <v>24</v>
      </c>
      <c r="G2" t="s">
        <v>25</v>
      </c>
      <c r="H2" t="s">
        <v>26</v>
      </c>
      <c r="I2" t="s">
        <v>27</v>
      </c>
      <c r="J2" t="s">
        <v>28</v>
      </c>
      <c r="K2" t="s">
        <v>29</v>
      </c>
      <c r="L2" t="s">
        <v>30</v>
      </c>
      <c r="M2">
        <v>53700</v>
      </c>
      <c r="N2" t="s">
        <v>31</v>
      </c>
      <c r="O2">
        <v>1463</v>
      </c>
      <c r="P2" t="s">
        <v>32</v>
      </c>
      <c r="Q2">
        <v>1</v>
      </c>
      <c r="R2">
        <v>1</v>
      </c>
      <c r="S2" t="s">
        <v>33</v>
      </c>
      <c r="T2" t="s">
        <v>34</v>
      </c>
      <c r="U2" t="s">
        <v>35</v>
      </c>
    </row>
    <row r="3" spans="1:21" x14ac:dyDescent="0.25">
      <c r="A3">
        <v>9116</v>
      </c>
      <c r="B3" t="s">
        <v>36</v>
      </c>
      <c r="C3" t="s">
        <v>37</v>
      </c>
      <c r="D3">
        <v>27</v>
      </c>
      <c r="E3" t="s">
        <v>38</v>
      </c>
      <c r="F3" t="s">
        <v>39</v>
      </c>
      <c r="G3" t="s">
        <v>40</v>
      </c>
      <c r="H3" t="s">
        <v>41</v>
      </c>
      <c r="I3" t="s">
        <v>42</v>
      </c>
      <c r="J3" t="s">
        <v>43</v>
      </c>
      <c r="K3" t="s">
        <v>29</v>
      </c>
      <c r="L3" t="s">
        <v>44</v>
      </c>
      <c r="M3">
        <v>91091</v>
      </c>
      <c r="N3" t="s">
        <v>45</v>
      </c>
      <c r="O3">
        <v>1024</v>
      </c>
      <c r="P3" t="s">
        <v>46</v>
      </c>
      <c r="Q3">
        <v>19</v>
      </c>
      <c r="R3">
        <v>4</v>
      </c>
      <c r="S3" t="s">
        <v>47</v>
      </c>
      <c r="T3" t="s">
        <v>34</v>
      </c>
      <c r="U3" t="s">
        <v>35</v>
      </c>
    </row>
    <row r="4" spans="1:21" x14ac:dyDescent="0.25">
      <c r="A4">
        <v>5120</v>
      </c>
      <c r="B4" t="s">
        <v>48</v>
      </c>
      <c r="C4" t="s">
        <v>37</v>
      </c>
      <c r="D4">
        <v>34</v>
      </c>
      <c r="E4" t="s">
        <v>38</v>
      </c>
      <c r="F4" t="s">
        <v>49</v>
      </c>
      <c r="G4" t="s">
        <v>50</v>
      </c>
      <c r="H4" t="s">
        <v>51</v>
      </c>
      <c r="I4" t="s">
        <v>52</v>
      </c>
      <c r="J4" t="s">
        <v>53</v>
      </c>
      <c r="K4" t="s">
        <v>29</v>
      </c>
      <c r="L4" t="s">
        <v>54</v>
      </c>
      <c r="M4">
        <v>57538</v>
      </c>
      <c r="N4" t="s">
        <v>55</v>
      </c>
      <c r="O4">
        <v>1674</v>
      </c>
      <c r="P4" t="s">
        <v>46</v>
      </c>
      <c r="Q4">
        <v>8</v>
      </c>
      <c r="R4">
        <v>1</v>
      </c>
      <c r="S4" t="s">
        <v>46</v>
      </c>
      <c r="T4" t="s">
        <v>56</v>
      </c>
      <c r="U4" t="s">
        <v>57</v>
      </c>
    </row>
    <row r="5" spans="1:21" x14ac:dyDescent="0.25">
      <c r="A5">
        <v>8071</v>
      </c>
      <c r="B5" t="s">
        <v>58</v>
      </c>
      <c r="C5" t="s">
        <v>22</v>
      </c>
      <c r="D5">
        <v>41</v>
      </c>
      <c r="E5" t="s">
        <v>59</v>
      </c>
      <c r="F5" t="s">
        <v>49</v>
      </c>
      <c r="G5" t="s">
        <v>25</v>
      </c>
      <c r="H5" t="s">
        <v>60</v>
      </c>
      <c r="I5" t="s">
        <v>61</v>
      </c>
      <c r="J5" t="s">
        <v>62</v>
      </c>
      <c r="K5" t="s">
        <v>63</v>
      </c>
      <c r="L5" t="s">
        <v>30</v>
      </c>
      <c r="M5">
        <v>62993</v>
      </c>
      <c r="N5" t="s">
        <v>64</v>
      </c>
      <c r="O5">
        <v>2695</v>
      </c>
      <c r="P5" t="s">
        <v>65</v>
      </c>
      <c r="Q5">
        <v>0</v>
      </c>
      <c r="R5">
        <v>2</v>
      </c>
      <c r="S5" t="s">
        <v>46</v>
      </c>
      <c r="T5" t="s">
        <v>66</v>
      </c>
      <c r="U5" t="s">
        <v>46</v>
      </c>
    </row>
    <row r="6" spans="1:21" x14ac:dyDescent="0.25">
      <c r="A6">
        <v>9351</v>
      </c>
      <c r="B6" t="s">
        <v>67</v>
      </c>
      <c r="C6" t="s">
        <v>37</v>
      </c>
      <c r="D6">
        <v>56</v>
      </c>
      <c r="E6" t="s">
        <v>68</v>
      </c>
      <c r="F6" t="s">
        <v>24</v>
      </c>
      <c r="G6" t="s">
        <v>25</v>
      </c>
      <c r="H6" t="s">
        <v>51</v>
      </c>
      <c r="I6" t="s">
        <v>69</v>
      </c>
      <c r="J6" t="s">
        <v>70</v>
      </c>
      <c r="K6" t="s">
        <v>63</v>
      </c>
      <c r="L6" t="s">
        <v>44</v>
      </c>
      <c r="M6">
        <v>45773</v>
      </c>
      <c r="N6" t="s">
        <v>64</v>
      </c>
      <c r="O6">
        <v>8776</v>
      </c>
      <c r="P6" t="s">
        <v>32</v>
      </c>
      <c r="Q6">
        <v>16</v>
      </c>
      <c r="R6">
        <v>4</v>
      </c>
      <c r="S6" t="s">
        <v>33</v>
      </c>
      <c r="T6" t="s">
        <v>66</v>
      </c>
      <c r="U6" t="s">
        <v>46</v>
      </c>
    </row>
    <row r="7" spans="1:21" x14ac:dyDescent="0.25">
      <c r="A7">
        <v>2873</v>
      </c>
      <c r="B7" t="s">
        <v>71</v>
      </c>
      <c r="C7" t="s">
        <v>22</v>
      </c>
      <c r="D7">
        <v>28</v>
      </c>
      <c r="E7" t="s">
        <v>38</v>
      </c>
      <c r="F7" t="s">
        <v>49</v>
      </c>
      <c r="G7" t="s">
        <v>72</v>
      </c>
      <c r="H7" t="s">
        <v>51</v>
      </c>
      <c r="I7" t="s">
        <v>73</v>
      </c>
      <c r="J7" t="s">
        <v>74</v>
      </c>
      <c r="K7" t="s">
        <v>29</v>
      </c>
      <c r="L7" t="s">
        <v>44</v>
      </c>
      <c r="M7">
        <v>96249</v>
      </c>
      <c r="N7" t="s">
        <v>31</v>
      </c>
      <c r="O7">
        <v>4826</v>
      </c>
      <c r="P7" t="s">
        <v>65</v>
      </c>
      <c r="Q7">
        <v>7</v>
      </c>
      <c r="R7">
        <v>3</v>
      </c>
      <c r="S7" t="s">
        <v>33</v>
      </c>
      <c r="T7" t="s">
        <v>75</v>
      </c>
      <c r="U7" t="s">
        <v>35</v>
      </c>
    </row>
    <row r="8" spans="1:21" x14ac:dyDescent="0.25">
      <c r="A8">
        <v>3540</v>
      </c>
      <c r="B8" t="s">
        <v>76</v>
      </c>
      <c r="C8" t="s">
        <v>22</v>
      </c>
      <c r="D8">
        <v>20</v>
      </c>
      <c r="E8" t="s">
        <v>23</v>
      </c>
      <c r="F8" t="s">
        <v>39</v>
      </c>
      <c r="G8" t="s">
        <v>50</v>
      </c>
      <c r="H8" t="s">
        <v>51</v>
      </c>
      <c r="I8" t="s">
        <v>77</v>
      </c>
      <c r="J8" t="s">
        <v>78</v>
      </c>
      <c r="K8" t="s">
        <v>29</v>
      </c>
      <c r="L8" t="s">
        <v>54</v>
      </c>
      <c r="M8">
        <v>61596</v>
      </c>
      <c r="N8" t="s">
        <v>31</v>
      </c>
      <c r="O8">
        <v>8818</v>
      </c>
      <c r="P8" t="s">
        <v>65</v>
      </c>
      <c r="Q8">
        <v>4</v>
      </c>
      <c r="R8">
        <v>2</v>
      </c>
      <c r="S8" t="s">
        <v>33</v>
      </c>
      <c r="T8" t="s">
        <v>56</v>
      </c>
      <c r="U8" t="s">
        <v>46</v>
      </c>
    </row>
    <row r="9" spans="1:21" x14ac:dyDescent="0.25">
      <c r="A9">
        <v>3653</v>
      </c>
      <c r="B9" t="s">
        <v>79</v>
      </c>
      <c r="C9" t="s">
        <v>22</v>
      </c>
      <c r="D9">
        <v>58</v>
      </c>
      <c r="E9" t="s">
        <v>68</v>
      </c>
      <c r="F9" t="s">
        <v>80</v>
      </c>
      <c r="G9" t="s">
        <v>40</v>
      </c>
      <c r="H9" t="s">
        <v>81</v>
      </c>
      <c r="I9" t="s">
        <v>82</v>
      </c>
      <c r="J9" t="s">
        <v>83</v>
      </c>
      <c r="K9" t="s">
        <v>29</v>
      </c>
      <c r="L9" t="s">
        <v>54</v>
      </c>
      <c r="M9">
        <v>97869</v>
      </c>
      <c r="N9" t="s">
        <v>64</v>
      </c>
      <c r="O9">
        <v>1966</v>
      </c>
      <c r="P9" t="s">
        <v>32</v>
      </c>
      <c r="Q9">
        <v>10</v>
      </c>
      <c r="R9">
        <v>1</v>
      </c>
      <c r="S9" t="s">
        <v>33</v>
      </c>
      <c r="T9" t="s">
        <v>34</v>
      </c>
      <c r="U9" t="s">
        <v>35</v>
      </c>
    </row>
    <row r="10" spans="1:21" x14ac:dyDescent="0.25">
      <c r="A10">
        <v>5587</v>
      </c>
      <c r="B10" t="s">
        <v>84</v>
      </c>
      <c r="C10" t="s">
        <v>22</v>
      </c>
      <c r="D10">
        <v>44</v>
      </c>
      <c r="E10" t="s">
        <v>59</v>
      </c>
      <c r="F10" t="s">
        <v>80</v>
      </c>
      <c r="G10" t="s">
        <v>50</v>
      </c>
      <c r="H10" t="s">
        <v>51</v>
      </c>
      <c r="I10" t="s">
        <v>85</v>
      </c>
      <c r="J10" t="s">
        <v>86</v>
      </c>
      <c r="K10" t="s">
        <v>29</v>
      </c>
      <c r="L10" t="s">
        <v>30</v>
      </c>
      <c r="M10">
        <v>81235</v>
      </c>
      <c r="N10" t="s">
        <v>64</v>
      </c>
      <c r="O10">
        <v>6553</v>
      </c>
      <c r="P10" t="s">
        <v>46</v>
      </c>
      <c r="Q10">
        <v>16</v>
      </c>
      <c r="R10">
        <v>2</v>
      </c>
      <c r="S10" t="s">
        <v>46</v>
      </c>
      <c r="T10" t="s">
        <v>56</v>
      </c>
      <c r="U10" t="s">
        <v>35</v>
      </c>
    </row>
    <row r="11" spans="1:21" x14ac:dyDescent="0.25">
      <c r="A11">
        <v>9554</v>
      </c>
      <c r="B11" t="s">
        <v>87</v>
      </c>
      <c r="C11" t="s">
        <v>22</v>
      </c>
      <c r="D11">
        <v>29</v>
      </c>
      <c r="E11" t="s">
        <v>38</v>
      </c>
      <c r="F11" t="s">
        <v>39</v>
      </c>
      <c r="G11" t="s">
        <v>50</v>
      </c>
      <c r="H11" t="s">
        <v>60</v>
      </c>
      <c r="I11" t="s">
        <v>88</v>
      </c>
      <c r="J11" t="s">
        <v>89</v>
      </c>
      <c r="K11" t="s">
        <v>29</v>
      </c>
      <c r="L11" t="s">
        <v>44</v>
      </c>
      <c r="M11">
        <v>87852</v>
      </c>
      <c r="N11" t="s">
        <v>64</v>
      </c>
      <c r="O11">
        <v>4980</v>
      </c>
      <c r="P11" t="s">
        <v>65</v>
      </c>
      <c r="Q11">
        <v>19</v>
      </c>
      <c r="R11">
        <v>3</v>
      </c>
      <c r="S11" t="s">
        <v>46</v>
      </c>
      <c r="T11" t="s">
        <v>66</v>
      </c>
      <c r="U11" t="s">
        <v>35</v>
      </c>
    </row>
    <row r="12" spans="1:21" x14ac:dyDescent="0.25">
      <c r="A12">
        <v>6213</v>
      </c>
      <c r="B12" t="s">
        <v>90</v>
      </c>
      <c r="C12" t="s">
        <v>37</v>
      </c>
      <c r="D12">
        <v>23</v>
      </c>
      <c r="E12" t="s">
        <v>23</v>
      </c>
      <c r="F12" t="s">
        <v>80</v>
      </c>
      <c r="G12" t="s">
        <v>25</v>
      </c>
      <c r="H12" t="s">
        <v>51</v>
      </c>
      <c r="I12" t="s">
        <v>91</v>
      </c>
      <c r="J12" t="s">
        <v>92</v>
      </c>
      <c r="K12" t="s">
        <v>63</v>
      </c>
      <c r="L12" t="s">
        <v>44</v>
      </c>
      <c r="M12">
        <v>59359</v>
      </c>
      <c r="N12" t="s">
        <v>64</v>
      </c>
      <c r="O12">
        <v>9449</v>
      </c>
      <c r="P12" t="s">
        <v>65</v>
      </c>
      <c r="Q12">
        <v>20</v>
      </c>
      <c r="R12">
        <v>3</v>
      </c>
      <c r="S12" t="s">
        <v>46</v>
      </c>
      <c r="T12" t="s">
        <v>56</v>
      </c>
      <c r="U12" t="s">
        <v>46</v>
      </c>
    </row>
    <row r="13" spans="1:21" x14ac:dyDescent="0.25">
      <c r="A13">
        <v>9105</v>
      </c>
      <c r="B13" t="s">
        <v>93</v>
      </c>
      <c r="C13" t="s">
        <v>37</v>
      </c>
      <c r="D13">
        <v>30</v>
      </c>
      <c r="E13" t="s">
        <v>38</v>
      </c>
      <c r="F13" t="s">
        <v>24</v>
      </c>
      <c r="G13" t="s">
        <v>40</v>
      </c>
      <c r="H13" t="s">
        <v>26</v>
      </c>
      <c r="I13" t="s">
        <v>94</v>
      </c>
      <c r="J13" t="s">
        <v>95</v>
      </c>
      <c r="K13" t="s">
        <v>63</v>
      </c>
      <c r="L13" t="s">
        <v>54</v>
      </c>
      <c r="M13">
        <v>81225</v>
      </c>
      <c r="N13" t="s">
        <v>55</v>
      </c>
      <c r="O13">
        <v>6202</v>
      </c>
      <c r="P13" t="s">
        <v>65</v>
      </c>
      <c r="Q13">
        <v>2</v>
      </c>
      <c r="R13">
        <v>2</v>
      </c>
      <c r="S13" t="s">
        <v>47</v>
      </c>
      <c r="T13" t="s">
        <v>96</v>
      </c>
      <c r="U13" t="s">
        <v>35</v>
      </c>
    </row>
    <row r="14" spans="1:21" x14ac:dyDescent="0.25">
      <c r="A14">
        <v>9508</v>
      </c>
      <c r="B14" t="s">
        <v>97</v>
      </c>
      <c r="C14" t="s">
        <v>22</v>
      </c>
      <c r="D14">
        <v>49</v>
      </c>
      <c r="E14" t="s">
        <v>98</v>
      </c>
      <c r="F14" t="s">
        <v>39</v>
      </c>
      <c r="G14" t="s">
        <v>25</v>
      </c>
      <c r="H14" t="s">
        <v>26</v>
      </c>
      <c r="I14" t="s">
        <v>99</v>
      </c>
      <c r="J14" t="s">
        <v>100</v>
      </c>
      <c r="K14" t="s">
        <v>63</v>
      </c>
      <c r="L14" t="s">
        <v>30</v>
      </c>
      <c r="M14">
        <v>32788</v>
      </c>
      <c r="N14" t="s">
        <v>55</v>
      </c>
      <c r="O14">
        <v>4396</v>
      </c>
      <c r="P14" t="s">
        <v>32</v>
      </c>
      <c r="Q14">
        <v>13</v>
      </c>
      <c r="R14">
        <v>5</v>
      </c>
      <c r="S14" t="s">
        <v>46</v>
      </c>
      <c r="T14" t="s">
        <v>75</v>
      </c>
      <c r="U14" t="s">
        <v>57</v>
      </c>
    </row>
    <row r="15" spans="1:21" x14ac:dyDescent="0.25">
      <c r="A15">
        <v>2436</v>
      </c>
      <c r="B15" t="s">
        <v>101</v>
      </c>
      <c r="C15" t="s">
        <v>37</v>
      </c>
      <c r="D15">
        <v>60</v>
      </c>
      <c r="E15" t="s">
        <v>68</v>
      </c>
      <c r="F15" t="s">
        <v>102</v>
      </c>
      <c r="G15" t="s">
        <v>25</v>
      </c>
      <c r="H15" t="s">
        <v>60</v>
      </c>
      <c r="I15" t="s">
        <v>103</v>
      </c>
      <c r="J15" t="s">
        <v>104</v>
      </c>
      <c r="K15" t="s">
        <v>63</v>
      </c>
      <c r="L15" t="s">
        <v>54</v>
      </c>
      <c r="M15">
        <v>70452</v>
      </c>
      <c r="N15" t="s">
        <v>55</v>
      </c>
      <c r="O15">
        <v>9911</v>
      </c>
      <c r="P15" t="s">
        <v>46</v>
      </c>
      <c r="Q15">
        <v>2</v>
      </c>
      <c r="R15">
        <v>1</v>
      </c>
      <c r="S15" t="s">
        <v>46</v>
      </c>
      <c r="T15" t="s">
        <v>75</v>
      </c>
      <c r="U15" t="s">
        <v>35</v>
      </c>
    </row>
    <row r="16" spans="1:21" x14ac:dyDescent="0.25">
      <c r="A16">
        <v>4441</v>
      </c>
      <c r="B16" t="s">
        <v>105</v>
      </c>
      <c r="C16" t="s">
        <v>37</v>
      </c>
      <c r="D16">
        <v>46</v>
      </c>
      <c r="E16" t="s">
        <v>98</v>
      </c>
      <c r="F16" t="s">
        <v>39</v>
      </c>
      <c r="G16" t="s">
        <v>72</v>
      </c>
      <c r="H16" t="s">
        <v>26</v>
      </c>
      <c r="I16" t="s">
        <v>106</v>
      </c>
      <c r="J16" t="s">
        <v>107</v>
      </c>
      <c r="K16" t="s">
        <v>29</v>
      </c>
      <c r="L16" t="s">
        <v>44</v>
      </c>
      <c r="M16">
        <v>33045</v>
      </c>
      <c r="N16" t="s">
        <v>45</v>
      </c>
      <c r="O16">
        <v>1456</v>
      </c>
      <c r="P16" t="s">
        <v>46</v>
      </c>
      <c r="Q16">
        <v>16</v>
      </c>
      <c r="R16">
        <v>3</v>
      </c>
      <c r="S16" t="s">
        <v>47</v>
      </c>
      <c r="T16" t="s">
        <v>75</v>
      </c>
      <c r="U16" t="s">
        <v>46</v>
      </c>
    </row>
    <row r="17" spans="1:21" x14ac:dyDescent="0.25">
      <c r="A17">
        <v>5827</v>
      </c>
      <c r="B17" t="s">
        <v>108</v>
      </c>
      <c r="C17" t="s">
        <v>37</v>
      </c>
      <c r="D17">
        <v>57</v>
      </c>
      <c r="E17" t="s">
        <v>68</v>
      </c>
      <c r="F17" t="s">
        <v>49</v>
      </c>
      <c r="G17" t="s">
        <v>72</v>
      </c>
      <c r="H17" t="s">
        <v>41</v>
      </c>
      <c r="I17" t="s">
        <v>109</v>
      </c>
      <c r="J17" t="s">
        <v>110</v>
      </c>
      <c r="K17" t="s">
        <v>111</v>
      </c>
      <c r="L17" t="s">
        <v>54</v>
      </c>
      <c r="M17">
        <v>96429</v>
      </c>
      <c r="N17" t="s">
        <v>31</v>
      </c>
      <c r="O17">
        <v>4740</v>
      </c>
      <c r="P17" t="s">
        <v>46</v>
      </c>
      <c r="Q17">
        <v>8</v>
      </c>
      <c r="R17">
        <v>1</v>
      </c>
      <c r="S17" t="s">
        <v>47</v>
      </c>
      <c r="T17" t="s">
        <v>66</v>
      </c>
      <c r="U17" t="s">
        <v>46</v>
      </c>
    </row>
    <row r="18" spans="1:21" x14ac:dyDescent="0.25">
      <c r="A18">
        <v>5184</v>
      </c>
      <c r="B18" t="s">
        <v>112</v>
      </c>
      <c r="C18" t="s">
        <v>22</v>
      </c>
      <c r="D18">
        <v>24</v>
      </c>
      <c r="E18" t="s">
        <v>23</v>
      </c>
      <c r="F18" t="s">
        <v>39</v>
      </c>
      <c r="G18" t="s">
        <v>50</v>
      </c>
      <c r="H18" t="s">
        <v>51</v>
      </c>
      <c r="I18" t="s">
        <v>113</v>
      </c>
      <c r="J18" t="s">
        <v>114</v>
      </c>
      <c r="K18" t="s">
        <v>111</v>
      </c>
      <c r="L18" t="s">
        <v>54</v>
      </c>
      <c r="M18">
        <v>33183</v>
      </c>
      <c r="N18" t="s">
        <v>64</v>
      </c>
      <c r="O18">
        <v>8114</v>
      </c>
      <c r="P18" t="s">
        <v>46</v>
      </c>
      <c r="Q18">
        <v>4</v>
      </c>
      <c r="R18">
        <v>2</v>
      </c>
      <c r="S18" t="s">
        <v>47</v>
      </c>
      <c r="T18" t="s">
        <v>96</v>
      </c>
      <c r="U18" t="s">
        <v>57</v>
      </c>
    </row>
    <row r="19" spans="1:21" x14ac:dyDescent="0.25">
      <c r="A19">
        <v>5874</v>
      </c>
      <c r="B19" t="s">
        <v>58</v>
      </c>
      <c r="C19" t="s">
        <v>22</v>
      </c>
      <c r="D19">
        <v>35</v>
      </c>
      <c r="E19" t="s">
        <v>38</v>
      </c>
      <c r="F19" t="s">
        <v>102</v>
      </c>
      <c r="G19" t="s">
        <v>72</v>
      </c>
      <c r="H19" t="s">
        <v>26</v>
      </c>
      <c r="I19" t="s">
        <v>115</v>
      </c>
      <c r="J19" t="s">
        <v>116</v>
      </c>
      <c r="K19" t="s">
        <v>111</v>
      </c>
      <c r="L19" t="s">
        <v>30</v>
      </c>
      <c r="M19">
        <v>75065</v>
      </c>
      <c r="N19" t="s">
        <v>31</v>
      </c>
      <c r="O19">
        <v>7123</v>
      </c>
      <c r="P19" t="s">
        <v>46</v>
      </c>
      <c r="Q19">
        <v>20</v>
      </c>
      <c r="R19">
        <v>2</v>
      </c>
      <c r="S19" t="s">
        <v>46</v>
      </c>
      <c r="T19" t="s">
        <v>34</v>
      </c>
      <c r="U19" t="s">
        <v>57</v>
      </c>
    </row>
    <row r="20" spans="1:21" x14ac:dyDescent="0.25">
      <c r="A20">
        <v>9834</v>
      </c>
      <c r="B20" t="s">
        <v>117</v>
      </c>
      <c r="C20" t="s">
        <v>37</v>
      </c>
      <c r="D20">
        <v>41</v>
      </c>
      <c r="E20" t="s">
        <v>59</v>
      </c>
      <c r="F20" t="s">
        <v>39</v>
      </c>
      <c r="G20" t="s">
        <v>40</v>
      </c>
      <c r="H20" t="s">
        <v>81</v>
      </c>
      <c r="I20" t="s">
        <v>118</v>
      </c>
      <c r="J20" t="s">
        <v>119</v>
      </c>
      <c r="K20" t="s">
        <v>29</v>
      </c>
      <c r="L20" t="s">
        <v>54</v>
      </c>
      <c r="M20">
        <v>32877</v>
      </c>
      <c r="N20" t="s">
        <v>31</v>
      </c>
      <c r="O20">
        <v>6432</v>
      </c>
      <c r="P20" t="s">
        <v>32</v>
      </c>
      <c r="Q20">
        <v>11</v>
      </c>
      <c r="R20">
        <v>1</v>
      </c>
      <c r="S20" t="s">
        <v>46</v>
      </c>
      <c r="T20" t="s">
        <v>34</v>
      </c>
      <c r="U20" t="s">
        <v>46</v>
      </c>
    </row>
    <row r="21" spans="1:21" x14ac:dyDescent="0.25">
      <c r="A21">
        <v>5096</v>
      </c>
      <c r="B21" t="s">
        <v>120</v>
      </c>
      <c r="C21" t="s">
        <v>37</v>
      </c>
      <c r="D21">
        <v>36</v>
      </c>
      <c r="E21" t="s">
        <v>59</v>
      </c>
      <c r="F21" t="s">
        <v>39</v>
      </c>
      <c r="G21" t="s">
        <v>121</v>
      </c>
      <c r="H21" t="s">
        <v>60</v>
      </c>
      <c r="I21" t="s">
        <v>122</v>
      </c>
      <c r="J21" t="s">
        <v>123</v>
      </c>
      <c r="K21" t="s">
        <v>29</v>
      </c>
      <c r="L21" t="s">
        <v>44</v>
      </c>
      <c r="M21">
        <v>46811</v>
      </c>
      <c r="N21" t="s">
        <v>55</v>
      </c>
      <c r="O21">
        <v>1567</v>
      </c>
      <c r="P21" t="s">
        <v>46</v>
      </c>
      <c r="Q21">
        <v>7</v>
      </c>
      <c r="R21">
        <v>3</v>
      </c>
      <c r="S21" t="s">
        <v>47</v>
      </c>
      <c r="T21" t="s">
        <v>34</v>
      </c>
      <c r="U21" t="s">
        <v>57</v>
      </c>
    </row>
    <row r="22" spans="1:21" x14ac:dyDescent="0.25">
      <c r="A22">
        <v>2263</v>
      </c>
      <c r="B22" t="s">
        <v>124</v>
      </c>
      <c r="C22" t="s">
        <v>37</v>
      </c>
      <c r="D22">
        <v>31</v>
      </c>
      <c r="E22" t="s">
        <v>38</v>
      </c>
      <c r="F22" t="s">
        <v>80</v>
      </c>
      <c r="G22" t="s">
        <v>50</v>
      </c>
      <c r="H22" t="s">
        <v>41</v>
      </c>
      <c r="I22" t="s">
        <v>125</v>
      </c>
      <c r="J22" t="s">
        <v>126</v>
      </c>
      <c r="K22" t="s">
        <v>63</v>
      </c>
      <c r="L22" t="s">
        <v>44</v>
      </c>
      <c r="M22">
        <v>87538</v>
      </c>
      <c r="N22" t="s">
        <v>31</v>
      </c>
      <c r="O22">
        <v>3588</v>
      </c>
      <c r="P22" t="s">
        <v>65</v>
      </c>
      <c r="Q22">
        <v>11</v>
      </c>
      <c r="R22">
        <v>5</v>
      </c>
      <c r="S22" t="s">
        <v>47</v>
      </c>
      <c r="T22" t="s">
        <v>66</v>
      </c>
      <c r="U22" t="s">
        <v>46</v>
      </c>
    </row>
    <row r="23" spans="1:21" x14ac:dyDescent="0.25">
      <c r="A23">
        <v>6505</v>
      </c>
      <c r="B23" t="s">
        <v>127</v>
      </c>
      <c r="C23" t="s">
        <v>22</v>
      </c>
      <c r="D23">
        <v>28</v>
      </c>
      <c r="E23" t="s">
        <v>38</v>
      </c>
      <c r="F23" t="s">
        <v>24</v>
      </c>
      <c r="G23" t="s">
        <v>40</v>
      </c>
      <c r="H23" t="s">
        <v>81</v>
      </c>
      <c r="I23" t="s">
        <v>128</v>
      </c>
      <c r="J23" t="s">
        <v>129</v>
      </c>
      <c r="K23" t="s">
        <v>29</v>
      </c>
      <c r="L23" t="s">
        <v>44</v>
      </c>
      <c r="M23">
        <v>73002</v>
      </c>
      <c r="N23" t="s">
        <v>31</v>
      </c>
      <c r="O23">
        <v>6296</v>
      </c>
      <c r="P23" t="s">
        <v>32</v>
      </c>
      <c r="Q23">
        <v>2</v>
      </c>
      <c r="R23">
        <v>5</v>
      </c>
      <c r="S23" t="s">
        <v>47</v>
      </c>
      <c r="T23" t="s">
        <v>56</v>
      </c>
      <c r="U23" t="s">
        <v>35</v>
      </c>
    </row>
    <row r="24" spans="1:21" x14ac:dyDescent="0.25">
      <c r="A24">
        <v>8626</v>
      </c>
      <c r="B24" t="s">
        <v>130</v>
      </c>
      <c r="C24" t="s">
        <v>37</v>
      </c>
      <c r="D24">
        <v>37</v>
      </c>
      <c r="E24" t="s">
        <v>59</v>
      </c>
      <c r="F24" t="s">
        <v>80</v>
      </c>
      <c r="G24" t="s">
        <v>40</v>
      </c>
      <c r="H24" t="s">
        <v>60</v>
      </c>
      <c r="I24" t="s">
        <v>131</v>
      </c>
      <c r="J24" t="s">
        <v>132</v>
      </c>
      <c r="K24" t="s">
        <v>111</v>
      </c>
      <c r="L24" t="s">
        <v>54</v>
      </c>
      <c r="M24">
        <v>41653</v>
      </c>
      <c r="N24" t="s">
        <v>55</v>
      </c>
      <c r="O24">
        <v>9236</v>
      </c>
      <c r="P24" t="s">
        <v>46</v>
      </c>
      <c r="Q24">
        <v>13</v>
      </c>
      <c r="R24">
        <v>1</v>
      </c>
      <c r="S24" t="s">
        <v>47</v>
      </c>
      <c r="T24" t="s">
        <v>34</v>
      </c>
      <c r="U24" t="s">
        <v>46</v>
      </c>
    </row>
    <row r="25" spans="1:21" x14ac:dyDescent="0.25">
      <c r="A25">
        <v>5979</v>
      </c>
      <c r="B25" t="s">
        <v>133</v>
      </c>
      <c r="C25" t="s">
        <v>22</v>
      </c>
      <c r="D25">
        <v>31</v>
      </c>
      <c r="E25" t="s">
        <v>38</v>
      </c>
      <c r="F25" t="s">
        <v>24</v>
      </c>
      <c r="G25" t="s">
        <v>25</v>
      </c>
      <c r="H25" t="s">
        <v>51</v>
      </c>
      <c r="I25" t="s">
        <v>134</v>
      </c>
      <c r="J25" t="s">
        <v>135</v>
      </c>
      <c r="K25" t="s">
        <v>63</v>
      </c>
      <c r="L25" t="s">
        <v>44</v>
      </c>
      <c r="M25">
        <v>67582</v>
      </c>
      <c r="N25" t="s">
        <v>64</v>
      </c>
      <c r="O25">
        <v>1375</v>
      </c>
      <c r="P25" t="s">
        <v>32</v>
      </c>
      <c r="Q25">
        <v>20</v>
      </c>
      <c r="R25">
        <v>3</v>
      </c>
      <c r="S25" t="s">
        <v>47</v>
      </c>
      <c r="T25" t="s">
        <v>56</v>
      </c>
      <c r="U25" t="s">
        <v>46</v>
      </c>
    </row>
    <row r="26" spans="1:21" x14ac:dyDescent="0.25">
      <c r="A26">
        <v>3104</v>
      </c>
      <c r="B26" t="s">
        <v>136</v>
      </c>
      <c r="C26" t="s">
        <v>22</v>
      </c>
      <c r="D26">
        <v>23</v>
      </c>
      <c r="E26" t="s">
        <v>23</v>
      </c>
      <c r="F26" t="s">
        <v>80</v>
      </c>
      <c r="G26" t="s">
        <v>40</v>
      </c>
      <c r="H26" t="s">
        <v>41</v>
      </c>
      <c r="I26" t="s">
        <v>137</v>
      </c>
      <c r="J26" t="s">
        <v>138</v>
      </c>
      <c r="K26" t="s">
        <v>111</v>
      </c>
      <c r="L26" t="s">
        <v>44</v>
      </c>
      <c r="M26">
        <v>37351</v>
      </c>
      <c r="N26" t="s">
        <v>55</v>
      </c>
      <c r="O26">
        <v>7858</v>
      </c>
      <c r="P26" t="s">
        <v>65</v>
      </c>
      <c r="Q26">
        <v>18</v>
      </c>
      <c r="R26">
        <v>2</v>
      </c>
      <c r="S26" t="s">
        <v>33</v>
      </c>
      <c r="T26" t="s">
        <v>56</v>
      </c>
      <c r="U26" t="s">
        <v>57</v>
      </c>
    </row>
    <row r="27" spans="1:21" x14ac:dyDescent="0.25">
      <c r="A27">
        <v>8967</v>
      </c>
      <c r="B27" t="s">
        <v>139</v>
      </c>
      <c r="C27" t="s">
        <v>22</v>
      </c>
      <c r="D27">
        <v>48</v>
      </c>
      <c r="E27" t="s">
        <v>98</v>
      </c>
      <c r="F27" t="s">
        <v>102</v>
      </c>
      <c r="G27" t="s">
        <v>50</v>
      </c>
      <c r="H27" t="s">
        <v>26</v>
      </c>
      <c r="I27" t="s">
        <v>140</v>
      </c>
      <c r="J27" t="s">
        <v>141</v>
      </c>
      <c r="K27" t="s">
        <v>29</v>
      </c>
      <c r="L27" t="s">
        <v>44</v>
      </c>
      <c r="M27">
        <v>36721</v>
      </c>
      <c r="N27" t="s">
        <v>45</v>
      </c>
      <c r="O27">
        <v>8820</v>
      </c>
      <c r="P27" t="s">
        <v>65</v>
      </c>
      <c r="Q27">
        <v>0</v>
      </c>
      <c r="R27">
        <v>2</v>
      </c>
      <c r="S27" t="s">
        <v>47</v>
      </c>
      <c r="T27" t="s">
        <v>56</v>
      </c>
      <c r="U27" t="s">
        <v>35</v>
      </c>
    </row>
    <row r="28" spans="1:21" x14ac:dyDescent="0.25">
      <c r="A28">
        <v>5087</v>
      </c>
      <c r="B28" t="s">
        <v>142</v>
      </c>
      <c r="C28" t="s">
        <v>37</v>
      </c>
      <c r="D28">
        <v>28</v>
      </c>
      <c r="E28" t="s">
        <v>38</v>
      </c>
      <c r="F28" t="s">
        <v>49</v>
      </c>
      <c r="G28" t="s">
        <v>121</v>
      </c>
      <c r="H28" t="s">
        <v>26</v>
      </c>
      <c r="I28" t="s">
        <v>143</v>
      </c>
      <c r="J28" t="s">
        <v>144</v>
      </c>
      <c r="K28" t="s">
        <v>63</v>
      </c>
      <c r="L28" t="s">
        <v>54</v>
      </c>
      <c r="M28">
        <v>46326</v>
      </c>
      <c r="N28" t="s">
        <v>45</v>
      </c>
      <c r="O28">
        <v>9189</v>
      </c>
      <c r="P28" t="s">
        <v>65</v>
      </c>
      <c r="Q28">
        <v>8</v>
      </c>
      <c r="R28">
        <v>4</v>
      </c>
      <c r="S28" t="s">
        <v>33</v>
      </c>
      <c r="T28" t="s">
        <v>75</v>
      </c>
      <c r="U28" t="s">
        <v>57</v>
      </c>
    </row>
    <row r="29" spans="1:21" x14ac:dyDescent="0.25">
      <c r="A29">
        <v>3358</v>
      </c>
      <c r="B29" t="s">
        <v>145</v>
      </c>
      <c r="C29" t="s">
        <v>37</v>
      </c>
      <c r="D29">
        <v>30</v>
      </c>
      <c r="E29" t="s">
        <v>38</v>
      </c>
      <c r="F29" t="s">
        <v>39</v>
      </c>
      <c r="G29" t="s">
        <v>72</v>
      </c>
      <c r="H29" t="s">
        <v>41</v>
      </c>
      <c r="I29" t="s">
        <v>146</v>
      </c>
      <c r="J29" t="s">
        <v>147</v>
      </c>
      <c r="K29" t="s">
        <v>29</v>
      </c>
      <c r="L29" t="s">
        <v>30</v>
      </c>
      <c r="M29">
        <v>59007</v>
      </c>
      <c r="N29" t="s">
        <v>31</v>
      </c>
      <c r="O29">
        <v>3380</v>
      </c>
      <c r="P29" t="s">
        <v>32</v>
      </c>
      <c r="Q29">
        <v>17</v>
      </c>
      <c r="R29">
        <v>3</v>
      </c>
      <c r="S29" t="s">
        <v>46</v>
      </c>
      <c r="T29" t="s">
        <v>96</v>
      </c>
      <c r="U29" t="s">
        <v>35</v>
      </c>
    </row>
    <row r="30" spans="1:21" x14ac:dyDescent="0.25">
      <c r="A30">
        <v>8256</v>
      </c>
      <c r="B30" t="s">
        <v>148</v>
      </c>
      <c r="C30" t="s">
        <v>37</v>
      </c>
      <c r="D30">
        <v>46</v>
      </c>
      <c r="E30" t="s">
        <v>98</v>
      </c>
      <c r="F30" t="s">
        <v>80</v>
      </c>
      <c r="G30" t="s">
        <v>25</v>
      </c>
      <c r="H30" t="s">
        <v>60</v>
      </c>
      <c r="I30" t="s">
        <v>149</v>
      </c>
      <c r="J30" t="s">
        <v>150</v>
      </c>
      <c r="K30" t="s">
        <v>29</v>
      </c>
      <c r="L30" t="s">
        <v>44</v>
      </c>
      <c r="M30">
        <v>52020</v>
      </c>
      <c r="N30" t="s">
        <v>45</v>
      </c>
      <c r="O30">
        <v>9585</v>
      </c>
      <c r="P30" t="s">
        <v>65</v>
      </c>
      <c r="Q30">
        <v>0</v>
      </c>
      <c r="R30">
        <v>4</v>
      </c>
      <c r="S30" t="s">
        <v>47</v>
      </c>
      <c r="T30" t="s">
        <v>96</v>
      </c>
      <c r="U30" t="s">
        <v>46</v>
      </c>
    </row>
    <row r="31" spans="1:21" x14ac:dyDescent="0.25">
      <c r="A31">
        <v>5763</v>
      </c>
      <c r="B31" t="s">
        <v>151</v>
      </c>
      <c r="C31" t="s">
        <v>37</v>
      </c>
      <c r="D31">
        <v>44</v>
      </c>
      <c r="E31" t="s">
        <v>59</v>
      </c>
      <c r="F31" t="s">
        <v>39</v>
      </c>
      <c r="G31" t="s">
        <v>50</v>
      </c>
      <c r="H31" t="s">
        <v>41</v>
      </c>
      <c r="I31" t="s">
        <v>152</v>
      </c>
      <c r="J31" t="s">
        <v>153</v>
      </c>
      <c r="K31" t="s">
        <v>111</v>
      </c>
      <c r="L31" t="s">
        <v>44</v>
      </c>
      <c r="M31">
        <v>98961</v>
      </c>
      <c r="N31" t="s">
        <v>55</v>
      </c>
      <c r="O31">
        <v>2688</v>
      </c>
      <c r="P31" t="s">
        <v>32</v>
      </c>
      <c r="Q31">
        <v>2</v>
      </c>
      <c r="R31">
        <v>5</v>
      </c>
      <c r="S31" t="s">
        <v>47</v>
      </c>
      <c r="T31" t="s">
        <v>96</v>
      </c>
      <c r="U31" t="s">
        <v>35</v>
      </c>
    </row>
    <row r="32" spans="1:21" x14ac:dyDescent="0.25">
      <c r="A32">
        <v>6838</v>
      </c>
      <c r="B32" t="s">
        <v>154</v>
      </c>
      <c r="C32" t="s">
        <v>37</v>
      </c>
      <c r="D32">
        <v>45</v>
      </c>
      <c r="E32" t="s">
        <v>59</v>
      </c>
      <c r="F32" t="s">
        <v>49</v>
      </c>
      <c r="G32" t="s">
        <v>72</v>
      </c>
      <c r="H32" t="s">
        <v>51</v>
      </c>
      <c r="I32" t="s">
        <v>155</v>
      </c>
      <c r="J32" t="s">
        <v>156</v>
      </c>
      <c r="K32" t="s">
        <v>111</v>
      </c>
      <c r="L32" t="s">
        <v>44</v>
      </c>
      <c r="M32">
        <v>81943</v>
      </c>
      <c r="N32" t="s">
        <v>31</v>
      </c>
      <c r="O32">
        <v>2255</v>
      </c>
      <c r="P32" t="s">
        <v>32</v>
      </c>
      <c r="Q32">
        <v>18</v>
      </c>
      <c r="R32">
        <v>2</v>
      </c>
      <c r="S32" t="s">
        <v>46</v>
      </c>
      <c r="T32" t="s">
        <v>66</v>
      </c>
      <c r="U32" t="s">
        <v>35</v>
      </c>
    </row>
    <row r="33" spans="1:21" x14ac:dyDescent="0.25">
      <c r="A33">
        <v>9544</v>
      </c>
      <c r="B33" t="s">
        <v>157</v>
      </c>
      <c r="C33" t="s">
        <v>37</v>
      </c>
      <c r="D33">
        <v>52</v>
      </c>
      <c r="E33" t="s">
        <v>98</v>
      </c>
      <c r="F33" t="s">
        <v>102</v>
      </c>
      <c r="G33" t="s">
        <v>50</v>
      </c>
      <c r="H33" t="s">
        <v>41</v>
      </c>
      <c r="I33" t="s">
        <v>158</v>
      </c>
      <c r="J33" t="s">
        <v>159</v>
      </c>
      <c r="K33" t="s">
        <v>111</v>
      </c>
      <c r="L33" t="s">
        <v>44</v>
      </c>
      <c r="M33">
        <v>47627</v>
      </c>
      <c r="N33" t="s">
        <v>31</v>
      </c>
      <c r="O33">
        <v>1221</v>
      </c>
      <c r="P33" t="s">
        <v>46</v>
      </c>
      <c r="Q33">
        <v>4</v>
      </c>
      <c r="R33">
        <v>3</v>
      </c>
      <c r="S33" t="s">
        <v>46</v>
      </c>
      <c r="T33" t="s">
        <v>56</v>
      </c>
      <c r="U33" t="s">
        <v>46</v>
      </c>
    </row>
    <row r="34" spans="1:21" x14ac:dyDescent="0.25">
      <c r="A34">
        <v>8012</v>
      </c>
      <c r="B34" t="s">
        <v>160</v>
      </c>
      <c r="C34" t="s">
        <v>22</v>
      </c>
      <c r="D34">
        <v>52</v>
      </c>
      <c r="E34" t="s">
        <v>98</v>
      </c>
      <c r="F34" t="s">
        <v>24</v>
      </c>
      <c r="G34" t="s">
        <v>25</v>
      </c>
      <c r="H34" t="s">
        <v>81</v>
      </c>
      <c r="I34" t="s">
        <v>161</v>
      </c>
      <c r="J34" t="s">
        <v>162</v>
      </c>
      <c r="K34" t="s">
        <v>111</v>
      </c>
      <c r="L34" t="s">
        <v>44</v>
      </c>
      <c r="M34">
        <v>56162</v>
      </c>
      <c r="N34" t="s">
        <v>55</v>
      </c>
      <c r="O34">
        <v>6560</v>
      </c>
      <c r="P34" t="s">
        <v>65</v>
      </c>
      <c r="Q34">
        <v>9</v>
      </c>
      <c r="R34">
        <v>4</v>
      </c>
      <c r="S34" t="s">
        <v>47</v>
      </c>
      <c r="T34" t="s">
        <v>75</v>
      </c>
      <c r="U34" t="s">
        <v>46</v>
      </c>
    </row>
    <row r="35" spans="1:21" x14ac:dyDescent="0.25">
      <c r="A35">
        <v>9374</v>
      </c>
      <c r="B35" t="s">
        <v>163</v>
      </c>
      <c r="C35" t="s">
        <v>22</v>
      </c>
      <c r="D35">
        <v>42</v>
      </c>
      <c r="E35" t="s">
        <v>59</v>
      </c>
      <c r="F35" t="s">
        <v>39</v>
      </c>
      <c r="G35" t="s">
        <v>50</v>
      </c>
      <c r="H35" t="s">
        <v>51</v>
      </c>
      <c r="I35" t="s">
        <v>164</v>
      </c>
      <c r="J35" t="s">
        <v>165</v>
      </c>
      <c r="K35" t="s">
        <v>63</v>
      </c>
      <c r="L35" t="s">
        <v>54</v>
      </c>
      <c r="M35">
        <v>95734</v>
      </c>
      <c r="N35" t="s">
        <v>31</v>
      </c>
      <c r="O35">
        <v>4854</v>
      </c>
      <c r="P35" t="s">
        <v>32</v>
      </c>
      <c r="Q35">
        <v>13</v>
      </c>
      <c r="R35">
        <v>2</v>
      </c>
      <c r="S35" t="s">
        <v>33</v>
      </c>
      <c r="T35" t="s">
        <v>34</v>
      </c>
      <c r="U35" t="s">
        <v>35</v>
      </c>
    </row>
    <row r="36" spans="1:21" x14ac:dyDescent="0.25">
      <c r="A36">
        <v>3487</v>
      </c>
      <c r="B36" t="s">
        <v>166</v>
      </c>
      <c r="C36" t="s">
        <v>37</v>
      </c>
      <c r="D36">
        <v>58</v>
      </c>
      <c r="E36" t="s">
        <v>68</v>
      </c>
      <c r="F36" t="s">
        <v>39</v>
      </c>
      <c r="G36" t="s">
        <v>40</v>
      </c>
      <c r="H36" t="s">
        <v>60</v>
      </c>
      <c r="I36" t="s">
        <v>167</v>
      </c>
      <c r="J36" t="s">
        <v>168</v>
      </c>
      <c r="K36" t="s">
        <v>63</v>
      </c>
      <c r="L36" t="s">
        <v>54</v>
      </c>
      <c r="M36">
        <v>74789</v>
      </c>
      <c r="N36" t="s">
        <v>31</v>
      </c>
      <c r="O36">
        <v>8101</v>
      </c>
      <c r="P36" t="s">
        <v>65</v>
      </c>
      <c r="Q36">
        <v>14</v>
      </c>
      <c r="R36">
        <v>5</v>
      </c>
      <c r="S36" t="s">
        <v>47</v>
      </c>
      <c r="T36" t="s">
        <v>66</v>
      </c>
      <c r="U36" t="s">
        <v>46</v>
      </c>
    </row>
    <row r="37" spans="1:21" x14ac:dyDescent="0.25">
      <c r="A37">
        <v>8445</v>
      </c>
      <c r="B37" t="s">
        <v>169</v>
      </c>
      <c r="C37" t="s">
        <v>22</v>
      </c>
      <c r="D37">
        <v>24</v>
      </c>
      <c r="E37" t="s">
        <v>23</v>
      </c>
      <c r="F37" t="s">
        <v>102</v>
      </c>
      <c r="G37" t="s">
        <v>25</v>
      </c>
      <c r="H37" t="s">
        <v>60</v>
      </c>
      <c r="I37" t="s">
        <v>170</v>
      </c>
      <c r="J37" t="s">
        <v>171</v>
      </c>
      <c r="K37" t="s">
        <v>29</v>
      </c>
      <c r="L37" t="s">
        <v>54</v>
      </c>
      <c r="M37">
        <v>30137</v>
      </c>
      <c r="N37" t="s">
        <v>45</v>
      </c>
      <c r="O37">
        <v>4031</v>
      </c>
      <c r="P37" t="s">
        <v>46</v>
      </c>
      <c r="Q37">
        <v>5</v>
      </c>
      <c r="R37">
        <v>3</v>
      </c>
      <c r="S37" t="s">
        <v>46</v>
      </c>
      <c r="T37" t="s">
        <v>56</v>
      </c>
      <c r="U37" t="s">
        <v>35</v>
      </c>
    </row>
    <row r="38" spans="1:21" x14ac:dyDescent="0.25">
      <c r="A38">
        <v>1550</v>
      </c>
      <c r="B38" t="s">
        <v>172</v>
      </c>
      <c r="C38" t="s">
        <v>37</v>
      </c>
      <c r="D38">
        <v>21</v>
      </c>
      <c r="E38" t="s">
        <v>23</v>
      </c>
      <c r="F38" t="s">
        <v>39</v>
      </c>
      <c r="G38" t="s">
        <v>25</v>
      </c>
      <c r="H38" t="s">
        <v>26</v>
      </c>
      <c r="I38" t="s">
        <v>173</v>
      </c>
      <c r="J38" t="s">
        <v>174</v>
      </c>
      <c r="K38" t="s">
        <v>29</v>
      </c>
      <c r="L38" t="s">
        <v>54</v>
      </c>
      <c r="M38">
        <v>95510</v>
      </c>
      <c r="N38" t="s">
        <v>31</v>
      </c>
      <c r="O38">
        <v>6811</v>
      </c>
      <c r="P38" t="s">
        <v>32</v>
      </c>
      <c r="Q38">
        <v>18</v>
      </c>
      <c r="R38">
        <v>4</v>
      </c>
      <c r="S38" t="s">
        <v>47</v>
      </c>
      <c r="T38" t="s">
        <v>96</v>
      </c>
      <c r="U38" t="s">
        <v>35</v>
      </c>
    </row>
    <row r="39" spans="1:21" x14ac:dyDescent="0.25">
      <c r="A39">
        <v>9968</v>
      </c>
      <c r="B39" t="s">
        <v>175</v>
      </c>
      <c r="C39" t="s">
        <v>37</v>
      </c>
      <c r="D39">
        <v>58</v>
      </c>
      <c r="E39" t="s">
        <v>68</v>
      </c>
      <c r="F39" t="s">
        <v>39</v>
      </c>
      <c r="G39" t="s">
        <v>72</v>
      </c>
      <c r="H39" t="s">
        <v>26</v>
      </c>
      <c r="I39" t="s">
        <v>176</v>
      </c>
      <c r="J39" t="s">
        <v>177</v>
      </c>
      <c r="K39" t="s">
        <v>63</v>
      </c>
      <c r="L39" t="s">
        <v>30</v>
      </c>
      <c r="M39">
        <v>80325</v>
      </c>
      <c r="N39" t="s">
        <v>45</v>
      </c>
      <c r="O39">
        <v>6230</v>
      </c>
      <c r="P39" t="s">
        <v>32</v>
      </c>
      <c r="Q39">
        <v>5</v>
      </c>
      <c r="R39">
        <v>4</v>
      </c>
      <c r="S39" t="s">
        <v>46</v>
      </c>
      <c r="T39" t="s">
        <v>66</v>
      </c>
      <c r="U39" t="s">
        <v>57</v>
      </c>
    </row>
    <row r="40" spans="1:21" x14ac:dyDescent="0.25">
      <c r="A40">
        <v>8029</v>
      </c>
      <c r="B40" t="s">
        <v>178</v>
      </c>
      <c r="C40" t="s">
        <v>22</v>
      </c>
      <c r="D40">
        <v>57</v>
      </c>
      <c r="E40" t="s">
        <v>68</v>
      </c>
      <c r="F40" t="s">
        <v>80</v>
      </c>
      <c r="G40" t="s">
        <v>121</v>
      </c>
      <c r="H40" t="s">
        <v>81</v>
      </c>
      <c r="I40" t="s">
        <v>179</v>
      </c>
      <c r="J40" t="s">
        <v>180</v>
      </c>
      <c r="K40" t="s">
        <v>111</v>
      </c>
      <c r="L40" t="s">
        <v>44</v>
      </c>
      <c r="M40">
        <v>34109</v>
      </c>
      <c r="N40" t="s">
        <v>45</v>
      </c>
      <c r="O40">
        <v>9232</v>
      </c>
      <c r="P40" t="s">
        <v>32</v>
      </c>
      <c r="Q40">
        <v>13</v>
      </c>
      <c r="R40">
        <v>3</v>
      </c>
      <c r="S40" t="s">
        <v>33</v>
      </c>
      <c r="T40" t="s">
        <v>34</v>
      </c>
      <c r="U40" t="s">
        <v>35</v>
      </c>
    </row>
    <row r="41" spans="1:21" x14ac:dyDescent="0.25">
      <c r="A41">
        <v>8847</v>
      </c>
      <c r="B41" t="s">
        <v>181</v>
      </c>
      <c r="C41" t="s">
        <v>37</v>
      </c>
      <c r="D41">
        <v>41</v>
      </c>
      <c r="E41" t="s">
        <v>59</v>
      </c>
      <c r="F41" t="s">
        <v>80</v>
      </c>
      <c r="G41" t="s">
        <v>72</v>
      </c>
      <c r="H41" t="s">
        <v>26</v>
      </c>
      <c r="I41" t="s">
        <v>182</v>
      </c>
      <c r="J41" t="s">
        <v>183</v>
      </c>
      <c r="K41" t="s">
        <v>111</v>
      </c>
      <c r="L41" t="s">
        <v>54</v>
      </c>
      <c r="M41">
        <v>73330</v>
      </c>
      <c r="N41" t="s">
        <v>31</v>
      </c>
      <c r="O41">
        <v>2276</v>
      </c>
      <c r="P41" t="s">
        <v>65</v>
      </c>
      <c r="Q41">
        <v>5</v>
      </c>
      <c r="R41">
        <v>1</v>
      </c>
      <c r="S41" t="s">
        <v>46</v>
      </c>
      <c r="T41" t="s">
        <v>56</v>
      </c>
      <c r="U41" t="s">
        <v>57</v>
      </c>
    </row>
    <row r="42" spans="1:21" x14ac:dyDescent="0.25">
      <c r="A42">
        <v>1955</v>
      </c>
      <c r="B42" t="s">
        <v>184</v>
      </c>
      <c r="C42" t="s">
        <v>22</v>
      </c>
      <c r="D42">
        <v>58</v>
      </c>
      <c r="E42" t="s">
        <v>68</v>
      </c>
      <c r="F42" t="s">
        <v>49</v>
      </c>
      <c r="G42" t="s">
        <v>50</v>
      </c>
      <c r="H42" t="s">
        <v>41</v>
      </c>
      <c r="I42" t="s">
        <v>185</v>
      </c>
      <c r="J42" t="s">
        <v>186</v>
      </c>
      <c r="K42" t="s">
        <v>63</v>
      </c>
      <c r="L42" t="s">
        <v>54</v>
      </c>
      <c r="M42">
        <v>46567</v>
      </c>
      <c r="N42" t="s">
        <v>64</v>
      </c>
      <c r="O42">
        <v>2825</v>
      </c>
      <c r="P42" t="s">
        <v>32</v>
      </c>
      <c r="Q42">
        <v>15</v>
      </c>
      <c r="R42">
        <v>3</v>
      </c>
      <c r="S42" t="s">
        <v>46</v>
      </c>
      <c r="T42" t="s">
        <v>96</v>
      </c>
      <c r="U42" t="s">
        <v>57</v>
      </c>
    </row>
    <row r="43" spans="1:21" x14ac:dyDescent="0.25">
      <c r="A43">
        <v>4522</v>
      </c>
      <c r="B43" t="s">
        <v>187</v>
      </c>
      <c r="C43" t="s">
        <v>22</v>
      </c>
      <c r="D43">
        <v>36</v>
      </c>
      <c r="E43" t="s">
        <v>59</v>
      </c>
      <c r="F43" t="s">
        <v>24</v>
      </c>
      <c r="G43" t="s">
        <v>121</v>
      </c>
      <c r="H43" t="s">
        <v>26</v>
      </c>
      <c r="I43" t="s">
        <v>188</v>
      </c>
      <c r="J43" t="s">
        <v>189</v>
      </c>
      <c r="K43" t="s">
        <v>63</v>
      </c>
      <c r="L43" t="s">
        <v>44</v>
      </c>
      <c r="M43">
        <v>39795</v>
      </c>
      <c r="N43" t="s">
        <v>64</v>
      </c>
      <c r="O43">
        <v>1670</v>
      </c>
      <c r="P43" t="s">
        <v>46</v>
      </c>
      <c r="Q43">
        <v>0</v>
      </c>
      <c r="R43">
        <v>2</v>
      </c>
      <c r="S43" t="s">
        <v>47</v>
      </c>
      <c r="T43" t="s">
        <v>75</v>
      </c>
      <c r="U43" t="s">
        <v>46</v>
      </c>
    </row>
    <row r="44" spans="1:21" x14ac:dyDescent="0.25">
      <c r="A44">
        <v>3078</v>
      </c>
      <c r="B44" t="s">
        <v>190</v>
      </c>
      <c r="C44" t="s">
        <v>22</v>
      </c>
      <c r="D44">
        <v>21</v>
      </c>
      <c r="E44" t="s">
        <v>23</v>
      </c>
      <c r="F44" t="s">
        <v>24</v>
      </c>
      <c r="G44" t="s">
        <v>25</v>
      </c>
      <c r="H44" t="s">
        <v>81</v>
      </c>
      <c r="I44" t="s">
        <v>191</v>
      </c>
      <c r="J44" t="s">
        <v>192</v>
      </c>
      <c r="K44" t="s">
        <v>63</v>
      </c>
      <c r="L44" t="s">
        <v>54</v>
      </c>
      <c r="M44">
        <v>59506</v>
      </c>
      <c r="N44" t="s">
        <v>64</v>
      </c>
      <c r="O44">
        <v>4428</v>
      </c>
      <c r="P44" t="s">
        <v>65</v>
      </c>
      <c r="Q44">
        <v>0</v>
      </c>
      <c r="R44">
        <v>1</v>
      </c>
      <c r="S44" t="s">
        <v>46</v>
      </c>
      <c r="T44" t="s">
        <v>75</v>
      </c>
      <c r="U44" t="s">
        <v>35</v>
      </c>
    </row>
    <row r="45" spans="1:21" x14ac:dyDescent="0.25">
      <c r="A45">
        <v>6357</v>
      </c>
      <c r="B45" t="s">
        <v>193</v>
      </c>
      <c r="C45" t="s">
        <v>22</v>
      </c>
      <c r="D45">
        <v>46</v>
      </c>
      <c r="E45" t="s">
        <v>98</v>
      </c>
      <c r="F45" t="s">
        <v>49</v>
      </c>
      <c r="G45" t="s">
        <v>40</v>
      </c>
      <c r="H45" t="s">
        <v>81</v>
      </c>
      <c r="I45" t="s">
        <v>194</v>
      </c>
      <c r="J45" t="s">
        <v>195</v>
      </c>
      <c r="K45" t="s">
        <v>63</v>
      </c>
      <c r="L45" t="s">
        <v>54</v>
      </c>
      <c r="M45">
        <v>49058</v>
      </c>
      <c r="N45" t="s">
        <v>45</v>
      </c>
      <c r="O45">
        <v>4396</v>
      </c>
      <c r="P45" t="s">
        <v>46</v>
      </c>
      <c r="Q45">
        <v>5</v>
      </c>
      <c r="R45">
        <v>1</v>
      </c>
      <c r="S45" t="s">
        <v>46</v>
      </c>
      <c r="T45" t="s">
        <v>75</v>
      </c>
      <c r="U45" t="s">
        <v>46</v>
      </c>
    </row>
    <row r="46" spans="1:21" x14ac:dyDescent="0.25">
      <c r="A46">
        <v>7951</v>
      </c>
      <c r="B46" t="s">
        <v>196</v>
      </c>
      <c r="C46" t="s">
        <v>22</v>
      </c>
      <c r="D46">
        <v>36</v>
      </c>
      <c r="E46" t="s">
        <v>59</v>
      </c>
      <c r="F46" t="s">
        <v>80</v>
      </c>
      <c r="G46" t="s">
        <v>50</v>
      </c>
      <c r="H46" t="s">
        <v>81</v>
      </c>
      <c r="I46" t="s">
        <v>197</v>
      </c>
      <c r="J46" t="s">
        <v>198</v>
      </c>
      <c r="K46" t="s">
        <v>63</v>
      </c>
      <c r="L46" t="s">
        <v>30</v>
      </c>
      <c r="M46">
        <v>98612</v>
      </c>
      <c r="N46" t="s">
        <v>64</v>
      </c>
      <c r="O46">
        <v>1168</v>
      </c>
      <c r="P46" t="s">
        <v>46</v>
      </c>
      <c r="Q46">
        <v>9</v>
      </c>
      <c r="R46">
        <v>2</v>
      </c>
      <c r="S46" t="s">
        <v>47</v>
      </c>
      <c r="T46" t="s">
        <v>34</v>
      </c>
      <c r="U46" t="s">
        <v>35</v>
      </c>
    </row>
    <row r="47" spans="1:21" x14ac:dyDescent="0.25">
      <c r="A47">
        <v>9228</v>
      </c>
      <c r="B47" t="s">
        <v>199</v>
      </c>
      <c r="C47" t="s">
        <v>37</v>
      </c>
      <c r="D47">
        <v>41</v>
      </c>
      <c r="E47" t="s">
        <v>59</v>
      </c>
      <c r="F47" t="s">
        <v>102</v>
      </c>
      <c r="G47" t="s">
        <v>72</v>
      </c>
      <c r="H47" t="s">
        <v>41</v>
      </c>
      <c r="I47" t="s">
        <v>200</v>
      </c>
      <c r="J47" t="s">
        <v>201</v>
      </c>
      <c r="K47" t="s">
        <v>111</v>
      </c>
      <c r="L47" t="s">
        <v>44</v>
      </c>
      <c r="M47">
        <v>38201</v>
      </c>
      <c r="N47" t="s">
        <v>64</v>
      </c>
      <c r="O47">
        <v>7111</v>
      </c>
      <c r="P47" t="s">
        <v>32</v>
      </c>
      <c r="Q47">
        <v>8</v>
      </c>
      <c r="R47">
        <v>4</v>
      </c>
      <c r="S47" t="s">
        <v>33</v>
      </c>
      <c r="T47" t="s">
        <v>75</v>
      </c>
      <c r="U47" t="s">
        <v>46</v>
      </c>
    </row>
    <row r="48" spans="1:21" x14ac:dyDescent="0.25">
      <c r="A48">
        <v>8988</v>
      </c>
      <c r="B48" t="s">
        <v>202</v>
      </c>
      <c r="C48" t="s">
        <v>37</v>
      </c>
      <c r="D48">
        <v>25</v>
      </c>
      <c r="E48" t="s">
        <v>23</v>
      </c>
      <c r="F48" t="s">
        <v>24</v>
      </c>
      <c r="G48" t="s">
        <v>50</v>
      </c>
      <c r="H48" t="s">
        <v>51</v>
      </c>
      <c r="I48" t="s">
        <v>203</v>
      </c>
      <c r="J48" t="s">
        <v>204</v>
      </c>
      <c r="K48" t="s">
        <v>111</v>
      </c>
      <c r="L48" t="s">
        <v>44</v>
      </c>
      <c r="M48">
        <v>92919</v>
      </c>
      <c r="N48" t="s">
        <v>55</v>
      </c>
      <c r="O48">
        <v>9497</v>
      </c>
      <c r="P48" t="s">
        <v>32</v>
      </c>
      <c r="Q48">
        <v>7</v>
      </c>
      <c r="R48">
        <v>2</v>
      </c>
      <c r="S48" t="s">
        <v>46</v>
      </c>
      <c r="T48" t="s">
        <v>75</v>
      </c>
      <c r="U48" t="s">
        <v>57</v>
      </c>
    </row>
    <row r="49" spans="1:21" x14ac:dyDescent="0.25">
      <c r="A49">
        <v>1952</v>
      </c>
      <c r="B49" t="s">
        <v>205</v>
      </c>
      <c r="C49" t="s">
        <v>22</v>
      </c>
      <c r="D49">
        <v>29</v>
      </c>
      <c r="E49" t="s">
        <v>38</v>
      </c>
      <c r="F49" t="s">
        <v>102</v>
      </c>
      <c r="G49" t="s">
        <v>25</v>
      </c>
      <c r="H49" t="s">
        <v>41</v>
      </c>
      <c r="I49" t="s">
        <v>206</v>
      </c>
      <c r="J49" t="s">
        <v>207</v>
      </c>
      <c r="K49" t="s">
        <v>29</v>
      </c>
      <c r="L49" t="s">
        <v>54</v>
      </c>
      <c r="M49">
        <v>45188</v>
      </c>
      <c r="N49" t="s">
        <v>64</v>
      </c>
      <c r="O49">
        <v>9591</v>
      </c>
      <c r="P49" t="s">
        <v>65</v>
      </c>
      <c r="Q49">
        <v>18</v>
      </c>
      <c r="R49">
        <v>3</v>
      </c>
      <c r="S49" t="s">
        <v>33</v>
      </c>
      <c r="T49" t="s">
        <v>75</v>
      </c>
      <c r="U49" t="s">
        <v>46</v>
      </c>
    </row>
    <row r="50" spans="1:21" x14ac:dyDescent="0.25">
      <c r="A50">
        <v>5760</v>
      </c>
      <c r="B50" t="s">
        <v>208</v>
      </c>
      <c r="C50" t="s">
        <v>22</v>
      </c>
      <c r="D50">
        <v>59</v>
      </c>
      <c r="E50" t="s">
        <v>68</v>
      </c>
      <c r="F50" t="s">
        <v>49</v>
      </c>
      <c r="G50" t="s">
        <v>40</v>
      </c>
      <c r="H50" t="s">
        <v>26</v>
      </c>
      <c r="I50" t="s">
        <v>209</v>
      </c>
      <c r="J50" t="s">
        <v>210</v>
      </c>
      <c r="K50" t="s">
        <v>29</v>
      </c>
      <c r="L50" t="s">
        <v>44</v>
      </c>
      <c r="M50">
        <v>34927</v>
      </c>
      <c r="N50" t="s">
        <v>55</v>
      </c>
      <c r="O50">
        <v>6996</v>
      </c>
      <c r="P50" t="s">
        <v>65</v>
      </c>
      <c r="Q50">
        <v>16</v>
      </c>
      <c r="R50">
        <v>1</v>
      </c>
      <c r="S50" t="s">
        <v>47</v>
      </c>
      <c r="T50" t="s">
        <v>34</v>
      </c>
      <c r="U50" t="s">
        <v>35</v>
      </c>
    </row>
    <row r="51" spans="1:21" x14ac:dyDescent="0.25">
      <c r="A51">
        <v>5742</v>
      </c>
      <c r="B51" t="s">
        <v>211</v>
      </c>
      <c r="C51" t="s">
        <v>22</v>
      </c>
      <c r="D51">
        <v>27</v>
      </c>
      <c r="E51" t="s">
        <v>38</v>
      </c>
      <c r="F51" t="s">
        <v>24</v>
      </c>
      <c r="G51" t="s">
        <v>50</v>
      </c>
      <c r="H51" t="s">
        <v>60</v>
      </c>
      <c r="I51" t="s">
        <v>212</v>
      </c>
      <c r="J51" t="s">
        <v>213</v>
      </c>
      <c r="K51" t="s">
        <v>29</v>
      </c>
      <c r="L51" t="s">
        <v>44</v>
      </c>
      <c r="M51">
        <v>33183</v>
      </c>
      <c r="N51" t="s">
        <v>64</v>
      </c>
      <c r="O51">
        <v>1659</v>
      </c>
      <c r="P51" t="s">
        <v>46</v>
      </c>
      <c r="Q51">
        <v>11</v>
      </c>
      <c r="R51">
        <v>1</v>
      </c>
      <c r="S51" t="s">
        <v>33</v>
      </c>
      <c r="T51" t="s">
        <v>66</v>
      </c>
      <c r="U51"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B5168-1FE7-4E79-AB25-5D542E89B7B7}">
  <dimension ref="A1:U51"/>
  <sheetViews>
    <sheetView workbookViewId="0">
      <selection activeCell="E56" sqref="E56"/>
    </sheetView>
  </sheetViews>
  <sheetFormatPr defaultColWidth="23.5703125" defaultRowHeight="15" x14ac:dyDescent="0.25"/>
  <cols>
    <col min="1" max="1" width="20.140625" bestFit="1" customWidth="1"/>
    <col min="2" max="2" width="17.42578125" bestFit="1" customWidth="1"/>
    <col min="3" max="3" width="14.28515625" bestFit="1" customWidth="1"/>
    <col min="4" max="4" width="10.28515625" bestFit="1" customWidth="1"/>
    <col min="5" max="5" width="17.28515625" bestFit="1" customWidth="1"/>
    <col min="6" max="6" width="13.7109375" bestFit="1" customWidth="1"/>
    <col min="7" max="7" width="15.28515625" bestFit="1" customWidth="1"/>
    <col min="8" max="8" width="19.85546875" bestFit="1" customWidth="1"/>
    <col min="9" max="9" width="29.7109375" bestFit="1" customWidth="1"/>
    <col min="10" max="10" width="19.7109375" bestFit="1" customWidth="1"/>
    <col min="11" max="11" width="28.28515625" bestFit="1" customWidth="1"/>
    <col min="12" max="12" width="22.42578125" bestFit="1" customWidth="1"/>
    <col min="13" max="13" width="12.7109375" bestFit="1" customWidth="1"/>
    <col min="14" max="14" width="17.28515625" bestFit="1" customWidth="1"/>
    <col min="15" max="15" width="27.42578125" bestFit="1" customWidth="1"/>
    <col min="16" max="16" width="25.7109375" bestFit="1" customWidth="1"/>
    <col min="17" max="17" width="19.85546875" bestFit="1" customWidth="1"/>
    <col min="18" max="18" width="28.7109375" bestFit="1" customWidth="1"/>
    <col min="19" max="19" width="38.42578125" bestFit="1" customWidth="1"/>
    <col min="20" max="20" width="15.140625" bestFit="1" customWidth="1"/>
    <col min="21" max="21" width="21.28515625" bestFit="1" customWidth="1"/>
  </cols>
  <sheetData>
    <row r="1" spans="1:21" s="5" customFormat="1" ht="18.75"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5">
      <c r="A2" s="1">
        <v>4294</v>
      </c>
      <c r="B2" s="2" t="s">
        <v>21</v>
      </c>
      <c r="C2" s="2" t="s">
        <v>22</v>
      </c>
      <c r="D2" s="1">
        <v>25</v>
      </c>
      <c r="E2" s="2" t="s">
        <v>23</v>
      </c>
      <c r="F2" s="2" t="s">
        <v>24</v>
      </c>
      <c r="G2" s="2" t="s">
        <v>25</v>
      </c>
      <c r="H2" s="2" t="s">
        <v>26</v>
      </c>
      <c r="I2" s="2" t="s">
        <v>27</v>
      </c>
      <c r="J2" s="3">
        <v>43539</v>
      </c>
      <c r="K2" s="2" t="s">
        <v>29</v>
      </c>
      <c r="L2" s="2" t="s">
        <v>30</v>
      </c>
      <c r="M2" s="1">
        <v>53700</v>
      </c>
      <c r="N2" s="2" t="s">
        <v>31</v>
      </c>
      <c r="O2" s="1">
        <v>1463</v>
      </c>
      <c r="P2" s="2" t="s">
        <v>32</v>
      </c>
      <c r="Q2" s="1">
        <v>1</v>
      </c>
      <c r="R2" s="1">
        <v>1</v>
      </c>
      <c r="S2" s="2" t="s">
        <v>33</v>
      </c>
      <c r="T2" s="2" t="s">
        <v>34</v>
      </c>
      <c r="U2" s="2" t="s">
        <v>35</v>
      </c>
    </row>
    <row r="3" spans="1:21" x14ac:dyDescent="0.25">
      <c r="A3" s="1">
        <v>9116</v>
      </c>
      <c r="B3" s="2" t="s">
        <v>36</v>
      </c>
      <c r="C3" s="2" t="s">
        <v>37</v>
      </c>
      <c r="D3" s="1">
        <v>27</v>
      </c>
      <c r="E3" s="2" t="s">
        <v>38</v>
      </c>
      <c r="F3" s="2" t="s">
        <v>39</v>
      </c>
      <c r="G3" s="2" t="s">
        <v>40</v>
      </c>
      <c r="H3" s="2" t="s">
        <v>41</v>
      </c>
      <c r="I3" s="2" t="s">
        <v>42</v>
      </c>
      <c r="J3" s="3">
        <v>44915</v>
      </c>
      <c r="K3" s="2" t="s">
        <v>29</v>
      </c>
      <c r="L3" s="2" t="s">
        <v>44</v>
      </c>
      <c r="M3" s="1">
        <v>91091</v>
      </c>
      <c r="N3" s="2" t="s">
        <v>45</v>
      </c>
      <c r="O3" s="1">
        <v>1024</v>
      </c>
      <c r="P3" s="2" t="s">
        <v>46</v>
      </c>
      <c r="Q3" s="1">
        <v>19</v>
      </c>
      <c r="R3" s="1">
        <v>4</v>
      </c>
      <c r="S3" s="2" t="s">
        <v>47</v>
      </c>
      <c r="T3" s="2" t="s">
        <v>34</v>
      </c>
      <c r="U3" s="2" t="s">
        <v>35</v>
      </c>
    </row>
    <row r="4" spans="1:21" x14ac:dyDescent="0.25">
      <c r="A4" s="1">
        <v>5120</v>
      </c>
      <c r="B4" s="2" t="s">
        <v>48</v>
      </c>
      <c r="C4" s="2" t="s">
        <v>37</v>
      </c>
      <c r="D4" s="1">
        <v>34</v>
      </c>
      <c r="E4" s="2" t="s">
        <v>38</v>
      </c>
      <c r="F4" s="2" t="s">
        <v>49</v>
      </c>
      <c r="G4" s="2" t="s">
        <v>50</v>
      </c>
      <c r="H4" s="2" t="s">
        <v>51</v>
      </c>
      <c r="I4" s="2" t="s">
        <v>52</v>
      </c>
      <c r="J4" s="3">
        <v>44783</v>
      </c>
      <c r="K4" s="2" t="s">
        <v>29</v>
      </c>
      <c r="L4" s="2" t="s">
        <v>54</v>
      </c>
      <c r="M4" s="1">
        <v>57538</v>
      </c>
      <c r="N4" s="2" t="s">
        <v>55</v>
      </c>
      <c r="O4" s="1">
        <v>1674</v>
      </c>
      <c r="P4" s="2" t="s">
        <v>46</v>
      </c>
      <c r="Q4" s="1">
        <v>8</v>
      </c>
      <c r="R4" s="1">
        <v>1</v>
      </c>
      <c r="S4" s="2" t="s">
        <v>46</v>
      </c>
      <c r="T4" s="2" t="s">
        <v>56</v>
      </c>
      <c r="U4" s="2" t="s">
        <v>57</v>
      </c>
    </row>
    <row r="5" spans="1:21" x14ac:dyDescent="0.25">
      <c r="A5" s="1">
        <v>8071</v>
      </c>
      <c r="B5" s="2" t="s">
        <v>58</v>
      </c>
      <c r="C5" s="2" t="s">
        <v>22</v>
      </c>
      <c r="D5" s="1">
        <v>41</v>
      </c>
      <c r="E5" s="2" t="s">
        <v>59</v>
      </c>
      <c r="F5" s="2" t="s">
        <v>49</v>
      </c>
      <c r="G5" s="2" t="s">
        <v>25</v>
      </c>
      <c r="H5" s="2" t="s">
        <v>60</v>
      </c>
      <c r="I5" s="2" t="s">
        <v>61</v>
      </c>
      <c r="J5" s="3">
        <v>45538</v>
      </c>
      <c r="K5" s="2" t="s">
        <v>63</v>
      </c>
      <c r="L5" s="2" t="s">
        <v>30</v>
      </c>
      <c r="M5" s="1">
        <v>62993</v>
      </c>
      <c r="N5" s="2" t="s">
        <v>64</v>
      </c>
      <c r="O5" s="1">
        <v>2695</v>
      </c>
      <c r="P5" s="2" t="s">
        <v>65</v>
      </c>
      <c r="Q5" s="1">
        <v>0</v>
      </c>
      <c r="R5" s="1">
        <v>2</v>
      </c>
      <c r="S5" s="2" t="s">
        <v>46</v>
      </c>
      <c r="T5" s="2" t="s">
        <v>66</v>
      </c>
      <c r="U5" s="2" t="s">
        <v>46</v>
      </c>
    </row>
    <row r="6" spans="1:21" x14ac:dyDescent="0.25">
      <c r="A6" s="1">
        <v>9351</v>
      </c>
      <c r="B6" s="2" t="s">
        <v>67</v>
      </c>
      <c r="C6" s="2" t="s">
        <v>37</v>
      </c>
      <c r="D6" s="1">
        <v>56</v>
      </c>
      <c r="E6" s="2" t="s">
        <v>68</v>
      </c>
      <c r="F6" s="2" t="s">
        <v>24</v>
      </c>
      <c r="G6" s="2" t="s">
        <v>25</v>
      </c>
      <c r="H6" s="2" t="s">
        <v>51</v>
      </c>
      <c r="I6" s="2" t="s">
        <v>69</v>
      </c>
      <c r="J6" s="3">
        <v>43538</v>
      </c>
      <c r="K6" s="2" t="s">
        <v>63</v>
      </c>
      <c r="L6" s="2" t="s">
        <v>44</v>
      </c>
      <c r="M6" s="1">
        <v>45773</v>
      </c>
      <c r="N6" s="2" t="s">
        <v>64</v>
      </c>
      <c r="O6" s="1">
        <v>8776</v>
      </c>
      <c r="P6" s="2" t="s">
        <v>32</v>
      </c>
      <c r="Q6" s="1">
        <v>16</v>
      </c>
      <c r="R6" s="1">
        <v>4</v>
      </c>
      <c r="S6" s="2" t="s">
        <v>33</v>
      </c>
      <c r="T6" s="2" t="s">
        <v>66</v>
      </c>
      <c r="U6" s="2" t="s">
        <v>46</v>
      </c>
    </row>
    <row r="7" spans="1:21" x14ac:dyDescent="0.25">
      <c r="A7" s="1">
        <v>2873</v>
      </c>
      <c r="B7" s="2" t="s">
        <v>71</v>
      </c>
      <c r="C7" s="2" t="s">
        <v>22</v>
      </c>
      <c r="D7" s="1">
        <v>28</v>
      </c>
      <c r="E7" s="2" t="s">
        <v>38</v>
      </c>
      <c r="F7" s="2" t="s">
        <v>49</v>
      </c>
      <c r="G7" s="2" t="s">
        <v>72</v>
      </c>
      <c r="H7" s="2" t="s">
        <v>51</v>
      </c>
      <c r="I7" s="2" t="s">
        <v>73</v>
      </c>
      <c r="J7" s="3">
        <v>42758</v>
      </c>
      <c r="K7" s="2" t="s">
        <v>29</v>
      </c>
      <c r="L7" s="2" t="s">
        <v>44</v>
      </c>
      <c r="M7" s="1">
        <v>96249</v>
      </c>
      <c r="N7" s="2" t="s">
        <v>31</v>
      </c>
      <c r="O7" s="1">
        <v>4826</v>
      </c>
      <c r="P7" s="2" t="s">
        <v>65</v>
      </c>
      <c r="Q7" s="1">
        <v>7</v>
      </c>
      <c r="R7" s="1">
        <v>3</v>
      </c>
      <c r="S7" s="2" t="s">
        <v>33</v>
      </c>
      <c r="T7" s="2" t="s">
        <v>75</v>
      </c>
      <c r="U7" s="2" t="s">
        <v>35</v>
      </c>
    </row>
    <row r="8" spans="1:21" x14ac:dyDescent="0.25">
      <c r="A8" s="1">
        <v>3540</v>
      </c>
      <c r="B8" s="2" t="s">
        <v>76</v>
      </c>
      <c r="C8" s="2" t="s">
        <v>22</v>
      </c>
      <c r="D8" s="1">
        <v>20</v>
      </c>
      <c r="E8" s="2" t="s">
        <v>23</v>
      </c>
      <c r="F8" s="2" t="s">
        <v>39</v>
      </c>
      <c r="G8" s="2" t="s">
        <v>50</v>
      </c>
      <c r="H8" s="2" t="s">
        <v>51</v>
      </c>
      <c r="I8" s="2" t="s">
        <v>77</v>
      </c>
      <c r="J8" s="3">
        <v>45521</v>
      </c>
      <c r="K8" s="2" t="s">
        <v>29</v>
      </c>
      <c r="L8" s="2" t="s">
        <v>54</v>
      </c>
      <c r="M8" s="1">
        <v>61596</v>
      </c>
      <c r="N8" s="2" t="s">
        <v>31</v>
      </c>
      <c r="O8" s="1">
        <v>8818</v>
      </c>
      <c r="P8" s="2" t="s">
        <v>65</v>
      </c>
      <c r="Q8" s="1">
        <v>4</v>
      </c>
      <c r="R8" s="1">
        <v>2</v>
      </c>
      <c r="S8" s="2" t="s">
        <v>33</v>
      </c>
      <c r="T8" s="2" t="s">
        <v>56</v>
      </c>
      <c r="U8" s="2" t="s">
        <v>46</v>
      </c>
    </row>
    <row r="9" spans="1:21" x14ac:dyDescent="0.25">
      <c r="A9" s="1">
        <v>3653</v>
      </c>
      <c r="B9" s="2" t="s">
        <v>79</v>
      </c>
      <c r="C9" s="2" t="s">
        <v>22</v>
      </c>
      <c r="D9" s="1">
        <v>58</v>
      </c>
      <c r="E9" s="2" t="s">
        <v>68</v>
      </c>
      <c r="F9" s="2" t="s">
        <v>80</v>
      </c>
      <c r="G9" s="2" t="s">
        <v>40</v>
      </c>
      <c r="H9" s="2" t="s">
        <v>81</v>
      </c>
      <c r="I9" s="2" t="s">
        <v>82</v>
      </c>
      <c r="J9" s="3">
        <v>41982</v>
      </c>
      <c r="K9" s="2" t="s">
        <v>29</v>
      </c>
      <c r="L9" s="2" t="s">
        <v>54</v>
      </c>
      <c r="M9" s="1">
        <v>97869</v>
      </c>
      <c r="N9" s="2" t="s">
        <v>64</v>
      </c>
      <c r="O9" s="1">
        <v>1966</v>
      </c>
      <c r="P9" s="2" t="s">
        <v>32</v>
      </c>
      <c r="Q9" s="1">
        <v>10</v>
      </c>
      <c r="R9" s="1">
        <v>1</v>
      </c>
      <c r="S9" s="2" t="s">
        <v>33</v>
      </c>
      <c r="T9" s="2" t="s">
        <v>34</v>
      </c>
      <c r="U9" s="2" t="s">
        <v>35</v>
      </c>
    </row>
    <row r="10" spans="1:21" x14ac:dyDescent="0.25">
      <c r="A10" s="1">
        <v>5587</v>
      </c>
      <c r="B10" s="2" t="s">
        <v>84</v>
      </c>
      <c r="C10" s="2" t="s">
        <v>22</v>
      </c>
      <c r="D10" s="1">
        <v>44</v>
      </c>
      <c r="E10" s="2" t="s">
        <v>59</v>
      </c>
      <c r="F10" s="2" t="s">
        <v>80</v>
      </c>
      <c r="G10" s="2" t="s">
        <v>50</v>
      </c>
      <c r="H10" s="2" t="s">
        <v>51</v>
      </c>
      <c r="I10" s="2" t="s">
        <v>85</v>
      </c>
      <c r="J10" s="3">
        <v>44375</v>
      </c>
      <c r="K10" s="2" t="s">
        <v>29</v>
      </c>
      <c r="L10" s="2" t="s">
        <v>30</v>
      </c>
      <c r="M10" s="1">
        <v>81235</v>
      </c>
      <c r="N10" s="2" t="s">
        <v>64</v>
      </c>
      <c r="O10" s="1">
        <v>6553</v>
      </c>
      <c r="P10" s="2" t="s">
        <v>46</v>
      </c>
      <c r="Q10" s="1">
        <v>16</v>
      </c>
      <c r="R10" s="1">
        <v>2</v>
      </c>
      <c r="S10" s="2" t="s">
        <v>46</v>
      </c>
      <c r="T10" s="2" t="s">
        <v>56</v>
      </c>
      <c r="U10" s="2" t="s">
        <v>35</v>
      </c>
    </row>
    <row r="11" spans="1:21" x14ac:dyDescent="0.25">
      <c r="A11" s="1">
        <v>9554</v>
      </c>
      <c r="B11" s="2" t="s">
        <v>87</v>
      </c>
      <c r="C11" s="2" t="s">
        <v>22</v>
      </c>
      <c r="D11" s="1">
        <v>29</v>
      </c>
      <c r="E11" s="2" t="s">
        <v>38</v>
      </c>
      <c r="F11" s="2" t="s">
        <v>39</v>
      </c>
      <c r="G11" s="2" t="s">
        <v>50</v>
      </c>
      <c r="H11" s="2" t="s">
        <v>60</v>
      </c>
      <c r="I11" s="2" t="s">
        <v>88</v>
      </c>
      <c r="J11" s="3">
        <v>43240</v>
      </c>
      <c r="K11" s="2" t="s">
        <v>29</v>
      </c>
      <c r="L11" s="2" t="s">
        <v>44</v>
      </c>
      <c r="M11" s="1">
        <v>87852</v>
      </c>
      <c r="N11" s="2" t="s">
        <v>64</v>
      </c>
      <c r="O11" s="1">
        <v>4980</v>
      </c>
      <c r="P11" s="2" t="s">
        <v>65</v>
      </c>
      <c r="Q11" s="1">
        <v>19</v>
      </c>
      <c r="R11" s="1">
        <v>3</v>
      </c>
      <c r="S11" s="2" t="s">
        <v>46</v>
      </c>
      <c r="T11" s="2" t="s">
        <v>66</v>
      </c>
      <c r="U11" s="2" t="s">
        <v>35</v>
      </c>
    </row>
    <row r="12" spans="1:21" x14ac:dyDescent="0.25">
      <c r="A12" s="1">
        <v>6213</v>
      </c>
      <c r="B12" s="2" t="s">
        <v>90</v>
      </c>
      <c r="C12" s="2" t="s">
        <v>37</v>
      </c>
      <c r="D12" s="1">
        <v>23</v>
      </c>
      <c r="E12" s="2" t="s">
        <v>23</v>
      </c>
      <c r="F12" s="2" t="s">
        <v>80</v>
      </c>
      <c r="G12" s="2" t="s">
        <v>25</v>
      </c>
      <c r="H12" s="2" t="s">
        <v>51</v>
      </c>
      <c r="I12" s="2" t="s">
        <v>91</v>
      </c>
      <c r="J12" s="3">
        <v>42779</v>
      </c>
      <c r="K12" s="2" t="s">
        <v>63</v>
      </c>
      <c r="L12" s="2" t="s">
        <v>44</v>
      </c>
      <c r="M12" s="1">
        <v>59359</v>
      </c>
      <c r="N12" s="2" t="s">
        <v>64</v>
      </c>
      <c r="O12" s="1">
        <v>9449</v>
      </c>
      <c r="P12" s="2" t="s">
        <v>65</v>
      </c>
      <c r="Q12" s="1">
        <v>20</v>
      </c>
      <c r="R12" s="1">
        <v>3</v>
      </c>
      <c r="S12" s="2" t="s">
        <v>46</v>
      </c>
      <c r="T12" s="2" t="s">
        <v>56</v>
      </c>
      <c r="U12" s="2" t="s">
        <v>46</v>
      </c>
    </row>
    <row r="13" spans="1:21" x14ac:dyDescent="0.25">
      <c r="A13" s="1">
        <v>9105</v>
      </c>
      <c r="B13" s="2" t="s">
        <v>93</v>
      </c>
      <c r="C13" s="2" t="s">
        <v>37</v>
      </c>
      <c r="D13" s="1">
        <v>30</v>
      </c>
      <c r="E13" s="2" t="s">
        <v>38</v>
      </c>
      <c r="F13" s="2" t="s">
        <v>24</v>
      </c>
      <c r="G13" s="2" t="s">
        <v>40</v>
      </c>
      <c r="H13" s="2" t="s">
        <v>26</v>
      </c>
      <c r="I13" s="2" t="s">
        <v>94</v>
      </c>
      <c r="J13" s="3">
        <v>45417</v>
      </c>
      <c r="K13" s="2" t="s">
        <v>63</v>
      </c>
      <c r="L13" s="2" t="s">
        <v>54</v>
      </c>
      <c r="M13" s="1">
        <v>81225</v>
      </c>
      <c r="N13" s="2" t="s">
        <v>55</v>
      </c>
      <c r="O13" s="1">
        <v>6202</v>
      </c>
      <c r="P13" s="2" t="s">
        <v>65</v>
      </c>
      <c r="Q13" s="1">
        <v>2</v>
      </c>
      <c r="R13" s="1">
        <v>2</v>
      </c>
      <c r="S13" s="2" t="s">
        <v>47</v>
      </c>
      <c r="T13" s="2" t="s">
        <v>96</v>
      </c>
      <c r="U13" s="2" t="s">
        <v>35</v>
      </c>
    </row>
    <row r="14" spans="1:21" x14ac:dyDescent="0.25">
      <c r="A14" s="1">
        <v>9508</v>
      </c>
      <c r="B14" s="2" t="s">
        <v>97</v>
      </c>
      <c r="C14" s="2" t="s">
        <v>22</v>
      </c>
      <c r="D14" s="1">
        <v>49</v>
      </c>
      <c r="E14" s="2" t="s">
        <v>98</v>
      </c>
      <c r="F14" s="2" t="s">
        <v>39</v>
      </c>
      <c r="G14" s="2" t="s">
        <v>25</v>
      </c>
      <c r="H14" s="2" t="s">
        <v>26</v>
      </c>
      <c r="I14" s="2" t="s">
        <v>99</v>
      </c>
      <c r="J14" s="3">
        <v>44670</v>
      </c>
      <c r="K14" s="2" t="s">
        <v>63</v>
      </c>
      <c r="L14" s="2" t="s">
        <v>30</v>
      </c>
      <c r="M14" s="1">
        <v>32788</v>
      </c>
      <c r="N14" s="2" t="s">
        <v>55</v>
      </c>
      <c r="O14" s="1">
        <v>4396</v>
      </c>
      <c r="P14" s="2" t="s">
        <v>32</v>
      </c>
      <c r="Q14" s="1">
        <v>13</v>
      </c>
      <c r="R14" s="1">
        <v>5</v>
      </c>
      <c r="S14" s="2" t="s">
        <v>46</v>
      </c>
      <c r="T14" s="2" t="s">
        <v>75</v>
      </c>
      <c r="U14" s="2" t="s">
        <v>57</v>
      </c>
    </row>
    <row r="15" spans="1:21" x14ac:dyDescent="0.25">
      <c r="A15" s="1">
        <v>2436</v>
      </c>
      <c r="B15" s="2" t="s">
        <v>101</v>
      </c>
      <c r="C15" s="2" t="s">
        <v>37</v>
      </c>
      <c r="D15" s="1">
        <v>60</v>
      </c>
      <c r="E15" s="2" t="s">
        <v>68</v>
      </c>
      <c r="F15" s="2" t="s">
        <v>102</v>
      </c>
      <c r="G15" s="2" t="s">
        <v>25</v>
      </c>
      <c r="H15" s="2" t="s">
        <v>60</v>
      </c>
      <c r="I15" s="2" t="s">
        <v>103</v>
      </c>
      <c r="J15" s="3">
        <v>42324</v>
      </c>
      <c r="K15" s="2" t="s">
        <v>63</v>
      </c>
      <c r="L15" s="2" t="s">
        <v>54</v>
      </c>
      <c r="M15" s="1">
        <v>70452</v>
      </c>
      <c r="N15" s="2" t="s">
        <v>55</v>
      </c>
      <c r="O15" s="1">
        <v>9911</v>
      </c>
      <c r="P15" s="2" t="s">
        <v>46</v>
      </c>
      <c r="Q15" s="1">
        <v>2</v>
      </c>
      <c r="R15" s="1">
        <v>1</v>
      </c>
      <c r="S15" s="2" t="s">
        <v>46</v>
      </c>
      <c r="T15" s="2" t="s">
        <v>75</v>
      </c>
      <c r="U15" s="2" t="s">
        <v>35</v>
      </c>
    </row>
    <row r="16" spans="1:21" x14ac:dyDescent="0.25">
      <c r="A16" s="1">
        <v>4441</v>
      </c>
      <c r="B16" s="2" t="s">
        <v>105</v>
      </c>
      <c r="C16" s="2" t="s">
        <v>37</v>
      </c>
      <c r="D16" s="1">
        <v>46</v>
      </c>
      <c r="E16" s="2" t="s">
        <v>98</v>
      </c>
      <c r="F16" s="2" t="s">
        <v>39</v>
      </c>
      <c r="G16" s="2" t="s">
        <v>72</v>
      </c>
      <c r="H16" s="2" t="s">
        <v>26</v>
      </c>
      <c r="I16" s="2" t="s">
        <v>106</v>
      </c>
      <c r="J16" s="3">
        <v>45178</v>
      </c>
      <c r="K16" s="2" t="s">
        <v>29</v>
      </c>
      <c r="L16" s="2" t="s">
        <v>44</v>
      </c>
      <c r="M16" s="1">
        <v>33045</v>
      </c>
      <c r="N16" s="2" t="s">
        <v>45</v>
      </c>
      <c r="O16" s="1">
        <v>1456</v>
      </c>
      <c r="P16" s="2" t="s">
        <v>46</v>
      </c>
      <c r="Q16" s="1">
        <v>16</v>
      </c>
      <c r="R16" s="1">
        <v>3</v>
      </c>
      <c r="S16" s="2" t="s">
        <v>47</v>
      </c>
      <c r="T16" s="2" t="s">
        <v>75</v>
      </c>
      <c r="U16" s="2" t="s">
        <v>46</v>
      </c>
    </row>
    <row r="17" spans="1:21" x14ac:dyDescent="0.25">
      <c r="A17" s="1">
        <v>5827</v>
      </c>
      <c r="B17" s="2" t="s">
        <v>108</v>
      </c>
      <c r="C17" s="2" t="s">
        <v>37</v>
      </c>
      <c r="D17" s="1">
        <v>57</v>
      </c>
      <c r="E17" s="2" t="s">
        <v>68</v>
      </c>
      <c r="F17" s="2" t="s">
        <v>49</v>
      </c>
      <c r="G17" s="2" t="s">
        <v>72</v>
      </c>
      <c r="H17" s="2" t="s">
        <v>41</v>
      </c>
      <c r="I17" s="2" t="s">
        <v>109</v>
      </c>
      <c r="J17" s="3">
        <v>43081</v>
      </c>
      <c r="K17" s="2" t="s">
        <v>111</v>
      </c>
      <c r="L17" s="2" t="s">
        <v>54</v>
      </c>
      <c r="M17" s="1">
        <v>96429</v>
      </c>
      <c r="N17" s="2" t="s">
        <v>31</v>
      </c>
      <c r="O17" s="1">
        <v>4740</v>
      </c>
      <c r="P17" s="2" t="s">
        <v>46</v>
      </c>
      <c r="Q17" s="1">
        <v>8</v>
      </c>
      <c r="R17" s="1">
        <v>1</v>
      </c>
      <c r="S17" s="2" t="s">
        <v>47</v>
      </c>
      <c r="T17" s="2" t="s">
        <v>66</v>
      </c>
      <c r="U17" s="2" t="s">
        <v>46</v>
      </c>
    </row>
    <row r="18" spans="1:21" x14ac:dyDescent="0.25">
      <c r="A18" s="1">
        <v>5184</v>
      </c>
      <c r="B18" s="2" t="s">
        <v>112</v>
      </c>
      <c r="C18" s="2" t="s">
        <v>22</v>
      </c>
      <c r="D18" s="1">
        <v>24</v>
      </c>
      <c r="E18" s="2" t="s">
        <v>23</v>
      </c>
      <c r="F18" s="2" t="s">
        <v>39</v>
      </c>
      <c r="G18" s="2" t="s">
        <v>50</v>
      </c>
      <c r="H18" s="2" t="s">
        <v>51</v>
      </c>
      <c r="I18" s="2" t="s">
        <v>113</v>
      </c>
      <c r="J18" s="3">
        <v>42804</v>
      </c>
      <c r="K18" s="2" t="s">
        <v>111</v>
      </c>
      <c r="L18" s="2" t="s">
        <v>54</v>
      </c>
      <c r="M18" s="1">
        <v>33183</v>
      </c>
      <c r="N18" s="2" t="s">
        <v>64</v>
      </c>
      <c r="O18" s="1">
        <v>8114</v>
      </c>
      <c r="P18" s="2" t="s">
        <v>46</v>
      </c>
      <c r="Q18" s="1">
        <v>4</v>
      </c>
      <c r="R18" s="1">
        <v>2</v>
      </c>
      <c r="S18" s="2" t="s">
        <v>47</v>
      </c>
      <c r="T18" s="2" t="s">
        <v>96</v>
      </c>
      <c r="U18" s="2" t="s">
        <v>57</v>
      </c>
    </row>
    <row r="19" spans="1:21" x14ac:dyDescent="0.25">
      <c r="A19" s="1">
        <v>5874</v>
      </c>
      <c r="B19" s="2" t="s">
        <v>58</v>
      </c>
      <c r="C19" s="2" t="s">
        <v>22</v>
      </c>
      <c r="D19" s="1">
        <v>35</v>
      </c>
      <c r="E19" s="2" t="s">
        <v>38</v>
      </c>
      <c r="F19" s="2" t="s">
        <v>102</v>
      </c>
      <c r="G19" s="2" t="s">
        <v>72</v>
      </c>
      <c r="H19" s="2" t="s">
        <v>26</v>
      </c>
      <c r="I19" s="2" t="s">
        <v>115</v>
      </c>
      <c r="J19" s="3">
        <v>43528</v>
      </c>
      <c r="K19" s="2" t="s">
        <v>111</v>
      </c>
      <c r="L19" s="2" t="s">
        <v>30</v>
      </c>
      <c r="M19" s="1">
        <v>75065</v>
      </c>
      <c r="N19" s="2" t="s">
        <v>31</v>
      </c>
      <c r="O19" s="1">
        <v>7123</v>
      </c>
      <c r="P19" s="2" t="s">
        <v>46</v>
      </c>
      <c r="Q19" s="1">
        <v>20</v>
      </c>
      <c r="R19" s="1">
        <v>2</v>
      </c>
      <c r="S19" s="2" t="s">
        <v>46</v>
      </c>
      <c r="T19" s="2" t="s">
        <v>34</v>
      </c>
      <c r="U19" s="2" t="s">
        <v>57</v>
      </c>
    </row>
    <row r="20" spans="1:21" x14ac:dyDescent="0.25">
      <c r="A20" s="1">
        <v>9834</v>
      </c>
      <c r="B20" s="2" t="s">
        <v>117</v>
      </c>
      <c r="C20" s="2" t="s">
        <v>37</v>
      </c>
      <c r="D20" s="1">
        <v>41</v>
      </c>
      <c r="E20" s="2" t="s">
        <v>59</v>
      </c>
      <c r="F20" s="2" t="s">
        <v>39</v>
      </c>
      <c r="G20" s="2" t="s">
        <v>40</v>
      </c>
      <c r="H20" s="2" t="s">
        <v>81</v>
      </c>
      <c r="I20" s="2" t="s">
        <v>118</v>
      </c>
      <c r="J20" s="3">
        <v>44885</v>
      </c>
      <c r="K20" s="2" t="s">
        <v>29</v>
      </c>
      <c r="L20" s="2" t="s">
        <v>54</v>
      </c>
      <c r="M20" s="1">
        <v>32877</v>
      </c>
      <c r="N20" s="2" t="s">
        <v>31</v>
      </c>
      <c r="O20" s="1">
        <v>6432</v>
      </c>
      <c r="P20" s="2" t="s">
        <v>32</v>
      </c>
      <c r="Q20" s="1">
        <v>11</v>
      </c>
      <c r="R20" s="1">
        <v>1</v>
      </c>
      <c r="S20" s="2" t="s">
        <v>46</v>
      </c>
      <c r="T20" s="2" t="s">
        <v>34</v>
      </c>
      <c r="U20" s="2" t="s">
        <v>46</v>
      </c>
    </row>
    <row r="21" spans="1:21" x14ac:dyDescent="0.25">
      <c r="A21" s="1">
        <v>5096</v>
      </c>
      <c r="B21" s="2" t="s">
        <v>120</v>
      </c>
      <c r="C21" s="2" t="s">
        <v>37</v>
      </c>
      <c r="D21" s="1">
        <v>36</v>
      </c>
      <c r="E21" s="2" t="s">
        <v>59</v>
      </c>
      <c r="F21" s="2" t="s">
        <v>39</v>
      </c>
      <c r="G21" s="2" t="s">
        <v>121</v>
      </c>
      <c r="H21" s="2" t="s">
        <v>60</v>
      </c>
      <c r="I21" s="2" t="s">
        <v>122</v>
      </c>
      <c r="J21" s="3">
        <v>44257</v>
      </c>
      <c r="K21" s="2" t="s">
        <v>29</v>
      </c>
      <c r="L21" s="2" t="s">
        <v>44</v>
      </c>
      <c r="M21" s="1">
        <v>46811</v>
      </c>
      <c r="N21" s="2" t="s">
        <v>55</v>
      </c>
      <c r="O21" s="1">
        <v>1567</v>
      </c>
      <c r="P21" s="2" t="s">
        <v>46</v>
      </c>
      <c r="Q21" s="1">
        <v>7</v>
      </c>
      <c r="R21" s="1">
        <v>3</v>
      </c>
      <c r="S21" s="2" t="s">
        <v>47</v>
      </c>
      <c r="T21" s="2" t="s">
        <v>34</v>
      </c>
      <c r="U21" s="2" t="s">
        <v>57</v>
      </c>
    </row>
    <row r="22" spans="1:21" x14ac:dyDescent="0.25">
      <c r="A22" s="1">
        <v>2263</v>
      </c>
      <c r="B22" s="2" t="s">
        <v>124</v>
      </c>
      <c r="C22" s="2" t="s">
        <v>37</v>
      </c>
      <c r="D22" s="1">
        <v>31</v>
      </c>
      <c r="E22" s="2" t="s">
        <v>38</v>
      </c>
      <c r="F22" s="2" t="s">
        <v>80</v>
      </c>
      <c r="G22" s="2" t="s">
        <v>50</v>
      </c>
      <c r="H22" s="2" t="s">
        <v>41</v>
      </c>
      <c r="I22" s="2" t="s">
        <v>125</v>
      </c>
      <c r="J22" s="3">
        <v>44409</v>
      </c>
      <c r="K22" s="2" t="s">
        <v>63</v>
      </c>
      <c r="L22" s="2" t="s">
        <v>44</v>
      </c>
      <c r="M22" s="1">
        <v>87538</v>
      </c>
      <c r="N22" s="2" t="s">
        <v>31</v>
      </c>
      <c r="O22" s="1">
        <v>3588</v>
      </c>
      <c r="P22" s="2" t="s">
        <v>65</v>
      </c>
      <c r="Q22" s="1">
        <v>11</v>
      </c>
      <c r="R22" s="1">
        <v>5</v>
      </c>
      <c r="S22" s="2" t="s">
        <v>47</v>
      </c>
      <c r="T22" s="2" t="s">
        <v>66</v>
      </c>
      <c r="U22" s="2" t="s">
        <v>46</v>
      </c>
    </row>
    <row r="23" spans="1:21" x14ac:dyDescent="0.25">
      <c r="A23" s="1">
        <v>6505</v>
      </c>
      <c r="B23" s="2" t="s">
        <v>127</v>
      </c>
      <c r="C23" s="2" t="s">
        <v>22</v>
      </c>
      <c r="D23" s="1">
        <v>28</v>
      </c>
      <c r="E23" s="2" t="s">
        <v>38</v>
      </c>
      <c r="F23" s="2" t="s">
        <v>24</v>
      </c>
      <c r="G23" s="2" t="s">
        <v>40</v>
      </c>
      <c r="H23" s="2" t="s">
        <v>81</v>
      </c>
      <c r="I23" s="2" t="s">
        <v>128</v>
      </c>
      <c r="J23" s="3">
        <v>42230</v>
      </c>
      <c r="K23" s="2" t="s">
        <v>29</v>
      </c>
      <c r="L23" s="2" t="s">
        <v>44</v>
      </c>
      <c r="M23" s="1">
        <v>73002</v>
      </c>
      <c r="N23" s="2" t="s">
        <v>31</v>
      </c>
      <c r="O23" s="1">
        <v>6296</v>
      </c>
      <c r="P23" s="2" t="s">
        <v>32</v>
      </c>
      <c r="Q23" s="1">
        <v>2</v>
      </c>
      <c r="R23" s="1">
        <v>5</v>
      </c>
      <c r="S23" s="2" t="s">
        <v>47</v>
      </c>
      <c r="T23" s="2" t="s">
        <v>56</v>
      </c>
      <c r="U23" s="2" t="s">
        <v>35</v>
      </c>
    </row>
    <row r="24" spans="1:21" x14ac:dyDescent="0.25">
      <c r="A24" s="1">
        <v>8626</v>
      </c>
      <c r="B24" s="2" t="s">
        <v>130</v>
      </c>
      <c r="C24" s="2" t="s">
        <v>37</v>
      </c>
      <c r="D24" s="1">
        <v>37</v>
      </c>
      <c r="E24" s="2" t="s">
        <v>59</v>
      </c>
      <c r="F24" s="2" t="s">
        <v>80</v>
      </c>
      <c r="G24" s="2" t="s">
        <v>40</v>
      </c>
      <c r="H24" s="2" t="s">
        <v>60</v>
      </c>
      <c r="I24" s="2" t="s">
        <v>131</v>
      </c>
      <c r="J24" s="3">
        <v>42298</v>
      </c>
      <c r="K24" s="2" t="s">
        <v>111</v>
      </c>
      <c r="L24" s="2" t="s">
        <v>54</v>
      </c>
      <c r="M24" s="1">
        <v>41653</v>
      </c>
      <c r="N24" s="2" t="s">
        <v>55</v>
      </c>
      <c r="O24" s="1">
        <v>9236</v>
      </c>
      <c r="P24" s="2" t="s">
        <v>46</v>
      </c>
      <c r="Q24" s="1">
        <v>13</v>
      </c>
      <c r="R24" s="1">
        <v>1</v>
      </c>
      <c r="S24" s="2" t="s">
        <v>47</v>
      </c>
      <c r="T24" s="2" t="s">
        <v>34</v>
      </c>
      <c r="U24" s="2" t="s">
        <v>46</v>
      </c>
    </row>
    <row r="25" spans="1:21" x14ac:dyDescent="0.25">
      <c r="A25" s="1">
        <v>5979</v>
      </c>
      <c r="B25" s="2" t="s">
        <v>133</v>
      </c>
      <c r="C25" s="2" t="s">
        <v>22</v>
      </c>
      <c r="D25" s="1">
        <v>31</v>
      </c>
      <c r="E25" s="2" t="s">
        <v>38</v>
      </c>
      <c r="F25" s="2" t="s">
        <v>24</v>
      </c>
      <c r="G25" s="2" t="s">
        <v>25</v>
      </c>
      <c r="H25" s="2" t="s">
        <v>51</v>
      </c>
      <c r="I25" s="2" t="s">
        <v>134</v>
      </c>
      <c r="J25" s="3">
        <v>42077</v>
      </c>
      <c r="K25" s="2" t="s">
        <v>63</v>
      </c>
      <c r="L25" s="2" t="s">
        <v>44</v>
      </c>
      <c r="M25" s="1">
        <v>67582</v>
      </c>
      <c r="N25" s="2" t="s">
        <v>64</v>
      </c>
      <c r="O25" s="1">
        <v>1375</v>
      </c>
      <c r="P25" s="2" t="s">
        <v>32</v>
      </c>
      <c r="Q25" s="1">
        <v>20</v>
      </c>
      <c r="R25" s="1">
        <v>3</v>
      </c>
      <c r="S25" s="2" t="s">
        <v>47</v>
      </c>
      <c r="T25" s="2" t="s">
        <v>56</v>
      </c>
      <c r="U25" s="2" t="s">
        <v>46</v>
      </c>
    </row>
    <row r="26" spans="1:21" x14ac:dyDescent="0.25">
      <c r="A26" s="1">
        <v>3104</v>
      </c>
      <c r="B26" s="2" t="s">
        <v>136</v>
      </c>
      <c r="C26" s="2" t="s">
        <v>22</v>
      </c>
      <c r="D26" s="1">
        <v>23</v>
      </c>
      <c r="E26" s="2" t="s">
        <v>23</v>
      </c>
      <c r="F26" s="2" t="s">
        <v>80</v>
      </c>
      <c r="G26" s="2" t="s">
        <v>40</v>
      </c>
      <c r="H26" s="2" t="s">
        <v>41</v>
      </c>
      <c r="I26" s="2" t="s">
        <v>137</v>
      </c>
      <c r="J26" s="3">
        <v>45434</v>
      </c>
      <c r="K26" s="2" t="s">
        <v>111</v>
      </c>
      <c r="L26" s="2" t="s">
        <v>44</v>
      </c>
      <c r="M26" s="1">
        <v>37351</v>
      </c>
      <c r="N26" s="2" t="s">
        <v>55</v>
      </c>
      <c r="O26" s="1">
        <v>7858</v>
      </c>
      <c r="P26" s="2" t="s">
        <v>65</v>
      </c>
      <c r="Q26" s="1">
        <v>18</v>
      </c>
      <c r="R26" s="1">
        <v>2</v>
      </c>
      <c r="S26" s="2" t="s">
        <v>33</v>
      </c>
      <c r="T26" s="2" t="s">
        <v>56</v>
      </c>
      <c r="U26" s="2" t="s">
        <v>57</v>
      </c>
    </row>
    <row r="27" spans="1:21" x14ac:dyDescent="0.25">
      <c r="A27" s="1">
        <v>8967</v>
      </c>
      <c r="B27" s="2" t="s">
        <v>139</v>
      </c>
      <c r="C27" s="2" t="s">
        <v>22</v>
      </c>
      <c r="D27" s="1">
        <v>48</v>
      </c>
      <c r="E27" s="2" t="s">
        <v>98</v>
      </c>
      <c r="F27" s="2" t="s">
        <v>102</v>
      </c>
      <c r="G27" s="2" t="s">
        <v>50</v>
      </c>
      <c r="H27" s="2" t="s">
        <v>26</v>
      </c>
      <c r="I27" s="2" t="s">
        <v>140</v>
      </c>
      <c r="J27" s="3">
        <v>42813</v>
      </c>
      <c r="K27" s="2" t="s">
        <v>29</v>
      </c>
      <c r="L27" s="2" t="s">
        <v>44</v>
      </c>
      <c r="M27" s="1">
        <v>36721</v>
      </c>
      <c r="N27" s="2" t="s">
        <v>45</v>
      </c>
      <c r="O27" s="1">
        <v>8820</v>
      </c>
      <c r="P27" s="2" t="s">
        <v>65</v>
      </c>
      <c r="Q27" s="1">
        <v>0</v>
      </c>
      <c r="R27" s="1">
        <v>2</v>
      </c>
      <c r="S27" s="2" t="s">
        <v>47</v>
      </c>
      <c r="T27" s="2" t="s">
        <v>56</v>
      </c>
      <c r="U27" s="2" t="s">
        <v>35</v>
      </c>
    </row>
    <row r="28" spans="1:21" x14ac:dyDescent="0.25">
      <c r="A28" s="1">
        <v>5087</v>
      </c>
      <c r="B28" s="2" t="s">
        <v>142</v>
      </c>
      <c r="C28" s="2" t="s">
        <v>37</v>
      </c>
      <c r="D28" s="1">
        <v>28</v>
      </c>
      <c r="E28" s="2" t="s">
        <v>38</v>
      </c>
      <c r="F28" s="2" t="s">
        <v>49</v>
      </c>
      <c r="G28" s="2" t="s">
        <v>121</v>
      </c>
      <c r="H28" s="2" t="s">
        <v>26</v>
      </c>
      <c r="I28" s="2" t="s">
        <v>143</v>
      </c>
      <c r="J28" s="3">
        <v>44454</v>
      </c>
      <c r="K28" s="2" t="s">
        <v>63</v>
      </c>
      <c r="L28" s="2" t="s">
        <v>54</v>
      </c>
      <c r="M28" s="1">
        <v>46326</v>
      </c>
      <c r="N28" s="2" t="s">
        <v>45</v>
      </c>
      <c r="O28" s="1">
        <v>9189</v>
      </c>
      <c r="P28" s="2" t="s">
        <v>65</v>
      </c>
      <c r="Q28" s="1">
        <v>8</v>
      </c>
      <c r="R28" s="1">
        <v>4</v>
      </c>
      <c r="S28" s="2" t="s">
        <v>33</v>
      </c>
      <c r="T28" s="2" t="s">
        <v>75</v>
      </c>
      <c r="U28" s="2" t="s">
        <v>57</v>
      </c>
    </row>
    <row r="29" spans="1:21" x14ac:dyDescent="0.25">
      <c r="A29" s="1">
        <v>3358</v>
      </c>
      <c r="B29" s="2" t="s">
        <v>145</v>
      </c>
      <c r="C29" s="2" t="s">
        <v>37</v>
      </c>
      <c r="D29" s="1">
        <v>30</v>
      </c>
      <c r="E29" s="2" t="s">
        <v>38</v>
      </c>
      <c r="F29" s="2" t="s">
        <v>39</v>
      </c>
      <c r="G29" s="2" t="s">
        <v>72</v>
      </c>
      <c r="H29" s="2" t="s">
        <v>41</v>
      </c>
      <c r="I29" s="2" t="s">
        <v>146</v>
      </c>
      <c r="J29" s="3">
        <v>44690</v>
      </c>
      <c r="K29" s="2" t="s">
        <v>29</v>
      </c>
      <c r="L29" s="2" t="s">
        <v>30</v>
      </c>
      <c r="M29" s="1">
        <v>59007</v>
      </c>
      <c r="N29" s="2" t="s">
        <v>31</v>
      </c>
      <c r="O29" s="1">
        <v>3380</v>
      </c>
      <c r="P29" s="2" t="s">
        <v>32</v>
      </c>
      <c r="Q29" s="1">
        <v>17</v>
      </c>
      <c r="R29" s="1">
        <v>3</v>
      </c>
      <c r="S29" s="2" t="s">
        <v>46</v>
      </c>
      <c r="T29" s="2" t="s">
        <v>96</v>
      </c>
      <c r="U29" s="2" t="s">
        <v>35</v>
      </c>
    </row>
    <row r="30" spans="1:21" x14ac:dyDescent="0.25">
      <c r="A30" s="1">
        <v>8256</v>
      </c>
      <c r="B30" s="2" t="s">
        <v>148</v>
      </c>
      <c r="C30" s="2" t="s">
        <v>37</v>
      </c>
      <c r="D30" s="1">
        <v>46</v>
      </c>
      <c r="E30" s="2" t="s">
        <v>98</v>
      </c>
      <c r="F30" s="2" t="s">
        <v>80</v>
      </c>
      <c r="G30" s="2" t="s">
        <v>25</v>
      </c>
      <c r="H30" s="2" t="s">
        <v>60</v>
      </c>
      <c r="I30" s="2" t="s">
        <v>149</v>
      </c>
      <c r="J30" s="3">
        <v>42908</v>
      </c>
      <c r="K30" s="2" t="s">
        <v>29</v>
      </c>
      <c r="L30" s="2" t="s">
        <v>44</v>
      </c>
      <c r="M30" s="1">
        <v>52020</v>
      </c>
      <c r="N30" s="2" t="s">
        <v>45</v>
      </c>
      <c r="O30" s="1">
        <v>9585</v>
      </c>
      <c r="P30" s="2" t="s">
        <v>65</v>
      </c>
      <c r="Q30" s="1">
        <v>0</v>
      </c>
      <c r="R30" s="1">
        <v>4</v>
      </c>
      <c r="S30" s="2" t="s">
        <v>47</v>
      </c>
      <c r="T30" s="2" t="s">
        <v>96</v>
      </c>
      <c r="U30" s="2" t="s">
        <v>46</v>
      </c>
    </row>
    <row r="31" spans="1:21" x14ac:dyDescent="0.25">
      <c r="A31" s="1">
        <v>5763</v>
      </c>
      <c r="B31" s="2" t="s">
        <v>151</v>
      </c>
      <c r="C31" s="2" t="s">
        <v>37</v>
      </c>
      <c r="D31" s="1">
        <v>44</v>
      </c>
      <c r="E31" s="2" t="s">
        <v>59</v>
      </c>
      <c r="F31" s="2" t="s">
        <v>39</v>
      </c>
      <c r="G31" s="2" t="s">
        <v>50</v>
      </c>
      <c r="H31" s="2" t="s">
        <v>41</v>
      </c>
      <c r="I31" s="2" t="s">
        <v>152</v>
      </c>
      <c r="J31" s="3">
        <v>44163</v>
      </c>
      <c r="K31" s="2" t="s">
        <v>111</v>
      </c>
      <c r="L31" s="2" t="s">
        <v>44</v>
      </c>
      <c r="M31" s="1">
        <v>98961</v>
      </c>
      <c r="N31" s="2" t="s">
        <v>55</v>
      </c>
      <c r="O31" s="1">
        <v>2688</v>
      </c>
      <c r="P31" s="2" t="s">
        <v>32</v>
      </c>
      <c r="Q31" s="1">
        <v>2</v>
      </c>
      <c r="R31" s="1">
        <v>5</v>
      </c>
      <c r="S31" s="2" t="s">
        <v>47</v>
      </c>
      <c r="T31" s="2" t="s">
        <v>96</v>
      </c>
      <c r="U31" s="2" t="s">
        <v>35</v>
      </c>
    </row>
    <row r="32" spans="1:21" x14ac:dyDescent="0.25">
      <c r="A32" s="1">
        <v>6838</v>
      </c>
      <c r="B32" s="2" t="s">
        <v>154</v>
      </c>
      <c r="C32" s="2" t="s">
        <v>37</v>
      </c>
      <c r="D32" s="1">
        <v>45</v>
      </c>
      <c r="E32" s="2" t="s">
        <v>59</v>
      </c>
      <c r="F32" s="2" t="s">
        <v>49</v>
      </c>
      <c r="G32" s="2" t="s">
        <v>72</v>
      </c>
      <c r="H32" s="2" t="s">
        <v>51</v>
      </c>
      <c r="I32" s="2" t="s">
        <v>155</v>
      </c>
      <c r="J32" s="3">
        <v>42246</v>
      </c>
      <c r="K32" s="2" t="s">
        <v>111</v>
      </c>
      <c r="L32" s="2" t="s">
        <v>44</v>
      </c>
      <c r="M32" s="1">
        <v>81943</v>
      </c>
      <c r="N32" s="2" t="s">
        <v>31</v>
      </c>
      <c r="O32" s="1">
        <v>2255</v>
      </c>
      <c r="P32" s="2" t="s">
        <v>32</v>
      </c>
      <c r="Q32" s="1">
        <v>18</v>
      </c>
      <c r="R32" s="1">
        <v>2</v>
      </c>
      <c r="S32" s="2" t="s">
        <v>46</v>
      </c>
      <c r="T32" s="2" t="s">
        <v>66</v>
      </c>
      <c r="U32" s="2" t="s">
        <v>35</v>
      </c>
    </row>
    <row r="33" spans="1:21" x14ac:dyDescent="0.25">
      <c r="A33" s="1">
        <v>9544</v>
      </c>
      <c r="B33" s="2" t="s">
        <v>157</v>
      </c>
      <c r="C33" s="2" t="s">
        <v>37</v>
      </c>
      <c r="D33" s="1">
        <v>52</v>
      </c>
      <c r="E33" s="2" t="s">
        <v>98</v>
      </c>
      <c r="F33" s="2" t="s">
        <v>102</v>
      </c>
      <c r="G33" s="2" t="s">
        <v>50</v>
      </c>
      <c r="H33" s="2" t="s">
        <v>41</v>
      </c>
      <c r="I33" s="2" t="s">
        <v>158</v>
      </c>
      <c r="J33" s="3">
        <v>43400</v>
      </c>
      <c r="K33" s="2" t="s">
        <v>111</v>
      </c>
      <c r="L33" s="2" t="s">
        <v>44</v>
      </c>
      <c r="M33" s="1">
        <v>47627</v>
      </c>
      <c r="N33" s="2" t="s">
        <v>31</v>
      </c>
      <c r="O33" s="1">
        <v>1221</v>
      </c>
      <c r="P33" s="2" t="s">
        <v>46</v>
      </c>
      <c r="Q33" s="1">
        <v>4</v>
      </c>
      <c r="R33" s="1">
        <v>3</v>
      </c>
      <c r="S33" s="2" t="s">
        <v>46</v>
      </c>
      <c r="T33" s="2" t="s">
        <v>56</v>
      </c>
      <c r="U33" s="2" t="s">
        <v>46</v>
      </c>
    </row>
    <row r="34" spans="1:21" x14ac:dyDescent="0.25">
      <c r="A34" s="1">
        <v>8012</v>
      </c>
      <c r="B34" s="2" t="s">
        <v>160</v>
      </c>
      <c r="C34" s="2" t="s">
        <v>22</v>
      </c>
      <c r="D34" s="1">
        <v>52</v>
      </c>
      <c r="E34" s="2" t="s">
        <v>98</v>
      </c>
      <c r="F34" s="2" t="s">
        <v>24</v>
      </c>
      <c r="G34" s="2" t="s">
        <v>25</v>
      </c>
      <c r="H34" s="2" t="s">
        <v>81</v>
      </c>
      <c r="I34" s="2" t="s">
        <v>161</v>
      </c>
      <c r="J34" s="3">
        <v>43338</v>
      </c>
      <c r="K34" s="2" t="s">
        <v>111</v>
      </c>
      <c r="L34" s="2" t="s">
        <v>44</v>
      </c>
      <c r="M34" s="1">
        <v>56162</v>
      </c>
      <c r="N34" s="2" t="s">
        <v>55</v>
      </c>
      <c r="O34" s="1">
        <v>6560</v>
      </c>
      <c r="P34" s="2" t="s">
        <v>65</v>
      </c>
      <c r="Q34" s="1">
        <v>9</v>
      </c>
      <c r="R34" s="1">
        <v>4</v>
      </c>
      <c r="S34" s="2" t="s">
        <v>47</v>
      </c>
      <c r="T34" s="2" t="s">
        <v>75</v>
      </c>
      <c r="U34" s="2" t="s">
        <v>46</v>
      </c>
    </row>
    <row r="35" spans="1:21" x14ac:dyDescent="0.25">
      <c r="A35" s="1">
        <v>9374</v>
      </c>
      <c r="B35" s="2" t="s">
        <v>163</v>
      </c>
      <c r="C35" s="2" t="s">
        <v>22</v>
      </c>
      <c r="D35" s="1">
        <v>42</v>
      </c>
      <c r="E35" s="2" t="s">
        <v>59</v>
      </c>
      <c r="F35" s="2" t="s">
        <v>39</v>
      </c>
      <c r="G35" s="2" t="s">
        <v>50</v>
      </c>
      <c r="H35" s="2" t="s">
        <v>51</v>
      </c>
      <c r="I35" s="2" t="s">
        <v>164</v>
      </c>
      <c r="J35" s="3">
        <v>45131</v>
      </c>
      <c r="K35" s="2" t="s">
        <v>63</v>
      </c>
      <c r="L35" s="2" t="s">
        <v>54</v>
      </c>
      <c r="M35" s="1">
        <v>95734</v>
      </c>
      <c r="N35" s="2" t="s">
        <v>31</v>
      </c>
      <c r="O35" s="1">
        <v>4854</v>
      </c>
      <c r="P35" s="2" t="s">
        <v>32</v>
      </c>
      <c r="Q35" s="1">
        <v>13</v>
      </c>
      <c r="R35" s="1">
        <v>2</v>
      </c>
      <c r="S35" s="2" t="s">
        <v>33</v>
      </c>
      <c r="T35" s="2" t="s">
        <v>34</v>
      </c>
      <c r="U35" s="2" t="s">
        <v>35</v>
      </c>
    </row>
    <row r="36" spans="1:21" x14ac:dyDescent="0.25">
      <c r="A36" s="1">
        <v>3487</v>
      </c>
      <c r="B36" s="2" t="s">
        <v>166</v>
      </c>
      <c r="C36" s="2" t="s">
        <v>37</v>
      </c>
      <c r="D36" s="1">
        <v>58</v>
      </c>
      <c r="E36" s="2" t="s">
        <v>68</v>
      </c>
      <c r="F36" s="2" t="s">
        <v>39</v>
      </c>
      <c r="G36" s="2" t="s">
        <v>40</v>
      </c>
      <c r="H36" s="2" t="s">
        <v>60</v>
      </c>
      <c r="I36" s="2" t="s">
        <v>167</v>
      </c>
      <c r="J36" s="3">
        <v>43290</v>
      </c>
      <c r="K36" s="2" t="s">
        <v>63</v>
      </c>
      <c r="L36" s="2" t="s">
        <v>54</v>
      </c>
      <c r="M36" s="1">
        <v>74789</v>
      </c>
      <c r="N36" s="2" t="s">
        <v>31</v>
      </c>
      <c r="O36" s="1">
        <v>8101</v>
      </c>
      <c r="P36" s="2" t="s">
        <v>65</v>
      </c>
      <c r="Q36" s="1">
        <v>14</v>
      </c>
      <c r="R36" s="1">
        <v>5</v>
      </c>
      <c r="S36" s="2" t="s">
        <v>47</v>
      </c>
      <c r="T36" s="2" t="s">
        <v>66</v>
      </c>
      <c r="U36" s="2" t="s">
        <v>46</v>
      </c>
    </row>
    <row r="37" spans="1:21" x14ac:dyDescent="0.25">
      <c r="A37" s="1">
        <v>8445</v>
      </c>
      <c r="B37" s="2" t="s">
        <v>169</v>
      </c>
      <c r="C37" s="2" t="s">
        <v>22</v>
      </c>
      <c r="D37" s="1">
        <v>24</v>
      </c>
      <c r="E37" s="2" t="s">
        <v>23</v>
      </c>
      <c r="F37" s="2" t="s">
        <v>102</v>
      </c>
      <c r="G37" s="2" t="s">
        <v>25</v>
      </c>
      <c r="H37" s="2" t="s">
        <v>60</v>
      </c>
      <c r="I37" s="2" t="s">
        <v>170</v>
      </c>
      <c r="J37" s="3">
        <v>42725</v>
      </c>
      <c r="K37" s="2" t="s">
        <v>29</v>
      </c>
      <c r="L37" s="2" t="s">
        <v>54</v>
      </c>
      <c r="M37" s="1">
        <v>30137</v>
      </c>
      <c r="N37" s="2" t="s">
        <v>45</v>
      </c>
      <c r="O37" s="1">
        <v>4031</v>
      </c>
      <c r="P37" s="2" t="s">
        <v>46</v>
      </c>
      <c r="Q37" s="1">
        <v>5</v>
      </c>
      <c r="R37" s="1">
        <v>3</v>
      </c>
      <c r="S37" s="2" t="s">
        <v>46</v>
      </c>
      <c r="T37" s="2" t="s">
        <v>56</v>
      </c>
      <c r="U37" s="2" t="s">
        <v>35</v>
      </c>
    </row>
    <row r="38" spans="1:21" x14ac:dyDescent="0.25">
      <c r="A38" s="1">
        <v>1550</v>
      </c>
      <c r="B38" s="2" t="s">
        <v>172</v>
      </c>
      <c r="C38" s="2" t="s">
        <v>37</v>
      </c>
      <c r="D38" s="1">
        <v>21</v>
      </c>
      <c r="E38" s="2" t="s">
        <v>23</v>
      </c>
      <c r="F38" s="2" t="s">
        <v>39</v>
      </c>
      <c r="G38" s="2" t="s">
        <v>25</v>
      </c>
      <c r="H38" s="2" t="s">
        <v>26</v>
      </c>
      <c r="I38" s="2" t="s">
        <v>173</v>
      </c>
      <c r="J38" s="3">
        <v>43643</v>
      </c>
      <c r="K38" s="2" t="s">
        <v>29</v>
      </c>
      <c r="L38" s="2" t="s">
        <v>54</v>
      </c>
      <c r="M38" s="1">
        <v>95510</v>
      </c>
      <c r="N38" s="2" t="s">
        <v>31</v>
      </c>
      <c r="O38" s="1">
        <v>6811</v>
      </c>
      <c r="P38" s="2" t="s">
        <v>32</v>
      </c>
      <c r="Q38" s="1">
        <v>18</v>
      </c>
      <c r="R38" s="1">
        <v>4</v>
      </c>
      <c r="S38" s="2" t="s">
        <v>47</v>
      </c>
      <c r="T38" s="2" t="s">
        <v>96</v>
      </c>
      <c r="U38" s="2" t="s">
        <v>35</v>
      </c>
    </row>
    <row r="39" spans="1:21" x14ac:dyDescent="0.25">
      <c r="A39" s="1">
        <v>9968</v>
      </c>
      <c r="B39" s="2" t="s">
        <v>175</v>
      </c>
      <c r="C39" s="2" t="s">
        <v>37</v>
      </c>
      <c r="D39" s="1">
        <v>58</v>
      </c>
      <c r="E39" s="2" t="s">
        <v>68</v>
      </c>
      <c r="F39" s="2" t="s">
        <v>39</v>
      </c>
      <c r="G39" s="2" t="s">
        <v>72</v>
      </c>
      <c r="H39" s="2" t="s">
        <v>26</v>
      </c>
      <c r="I39" s="2" t="s">
        <v>176</v>
      </c>
      <c r="J39" s="3">
        <v>44435</v>
      </c>
      <c r="K39" s="2" t="s">
        <v>63</v>
      </c>
      <c r="L39" s="2" t="s">
        <v>30</v>
      </c>
      <c r="M39" s="1">
        <v>80325</v>
      </c>
      <c r="N39" s="2" t="s">
        <v>45</v>
      </c>
      <c r="O39" s="1">
        <v>6230</v>
      </c>
      <c r="P39" s="2" t="s">
        <v>32</v>
      </c>
      <c r="Q39" s="1">
        <v>5</v>
      </c>
      <c r="R39" s="1">
        <v>4</v>
      </c>
      <c r="S39" s="2" t="s">
        <v>46</v>
      </c>
      <c r="T39" s="2" t="s">
        <v>66</v>
      </c>
      <c r="U39" s="2" t="s">
        <v>57</v>
      </c>
    </row>
    <row r="40" spans="1:21" x14ac:dyDescent="0.25">
      <c r="A40" s="1">
        <v>8029</v>
      </c>
      <c r="B40" s="2" t="s">
        <v>178</v>
      </c>
      <c r="C40" s="2" t="s">
        <v>22</v>
      </c>
      <c r="D40" s="1">
        <v>57</v>
      </c>
      <c r="E40" s="2" t="s">
        <v>68</v>
      </c>
      <c r="F40" s="2" t="s">
        <v>80</v>
      </c>
      <c r="G40" s="2" t="s">
        <v>121</v>
      </c>
      <c r="H40" s="2" t="s">
        <v>81</v>
      </c>
      <c r="I40" s="2" t="s">
        <v>179</v>
      </c>
      <c r="J40" s="3">
        <v>42883</v>
      </c>
      <c r="K40" s="2" t="s">
        <v>111</v>
      </c>
      <c r="L40" s="2" t="s">
        <v>44</v>
      </c>
      <c r="M40" s="1">
        <v>34109</v>
      </c>
      <c r="N40" s="2" t="s">
        <v>45</v>
      </c>
      <c r="O40" s="1">
        <v>9232</v>
      </c>
      <c r="P40" s="2" t="s">
        <v>32</v>
      </c>
      <c r="Q40" s="1">
        <v>13</v>
      </c>
      <c r="R40" s="1">
        <v>3</v>
      </c>
      <c r="S40" s="2" t="s">
        <v>33</v>
      </c>
      <c r="T40" s="2" t="s">
        <v>34</v>
      </c>
      <c r="U40" s="2" t="s">
        <v>35</v>
      </c>
    </row>
    <row r="41" spans="1:21" x14ac:dyDescent="0.25">
      <c r="A41" s="1">
        <v>8847</v>
      </c>
      <c r="B41" s="2" t="s">
        <v>181</v>
      </c>
      <c r="C41" s="2" t="s">
        <v>37</v>
      </c>
      <c r="D41" s="1">
        <v>41</v>
      </c>
      <c r="E41" s="2" t="s">
        <v>59</v>
      </c>
      <c r="F41" s="2" t="s">
        <v>80</v>
      </c>
      <c r="G41" s="2" t="s">
        <v>72</v>
      </c>
      <c r="H41" s="2" t="s">
        <v>26</v>
      </c>
      <c r="I41" s="2" t="s">
        <v>182</v>
      </c>
      <c r="J41" s="3">
        <v>44591</v>
      </c>
      <c r="K41" s="2" t="s">
        <v>111</v>
      </c>
      <c r="L41" s="2" t="s">
        <v>54</v>
      </c>
      <c r="M41" s="1">
        <v>73330</v>
      </c>
      <c r="N41" s="2" t="s">
        <v>31</v>
      </c>
      <c r="O41" s="1">
        <v>2276</v>
      </c>
      <c r="P41" s="2" t="s">
        <v>65</v>
      </c>
      <c r="Q41" s="1">
        <v>5</v>
      </c>
      <c r="R41" s="1">
        <v>1</v>
      </c>
      <c r="S41" s="2" t="s">
        <v>46</v>
      </c>
      <c r="T41" s="2" t="s">
        <v>56</v>
      </c>
      <c r="U41" s="2" t="s">
        <v>57</v>
      </c>
    </row>
    <row r="42" spans="1:21" x14ac:dyDescent="0.25">
      <c r="A42" s="1">
        <v>1955</v>
      </c>
      <c r="B42" s="2" t="s">
        <v>184</v>
      </c>
      <c r="C42" s="2" t="s">
        <v>22</v>
      </c>
      <c r="D42" s="1">
        <v>58</v>
      </c>
      <c r="E42" s="2" t="s">
        <v>68</v>
      </c>
      <c r="F42" s="2" t="s">
        <v>49</v>
      </c>
      <c r="G42" s="2" t="s">
        <v>50</v>
      </c>
      <c r="H42" s="2" t="s">
        <v>41</v>
      </c>
      <c r="I42" s="2" t="s">
        <v>185</v>
      </c>
      <c r="J42" s="3">
        <v>42845</v>
      </c>
      <c r="K42" s="2" t="s">
        <v>63</v>
      </c>
      <c r="L42" s="2" t="s">
        <v>54</v>
      </c>
      <c r="M42" s="1">
        <v>46567</v>
      </c>
      <c r="N42" s="2" t="s">
        <v>64</v>
      </c>
      <c r="O42" s="1">
        <v>2825</v>
      </c>
      <c r="P42" s="2" t="s">
        <v>32</v>
      </c>
      <c r="Q42" s="1">
        <v>15</v>
      </c>
      <c r="R42" s="1">
        <v>3</v>
      </c>
      <c r="S42" s="2" t="s">
        <v>46</v>
      </c>
      <c r="T42" s="2" t="s">
        <v>96</v>
      </c>
      <c r="U42" s="2" t="s">
        <v>57</v>
      </c>
    </row>
    <row r="43" spans="1:21" x14ac:dyDescent="0.25">
      <c r="A43" s="1">
        <v>4522</v>
      </c>
      <c r="B43" s="2" t="s">
        <v>187</v>
      </c>
      <c r="C43" s="2" t="s">
        <v>22</v>
      </c>
      <c r="D43" s="1">
        <v>36</v>
      </c>
      <c r="E43" s="2" t="s">
        <v>59</v>
      </c>
      <c r="F43" s="2" t="s">
        <v>24</v>
      </c>
      <c r="G43" s="2" t="s">
        <v>121</v>
      </c>
      <c r="H43" s="2" t="s">
        <v>26</v>
      </c>
      <c r="I43" s="2" t="s">
        <v>188</v>
      </c>
      <c r="J43" s="3">
        <v>43668</v>
      </c>
      <c r="K43" s="2" t="s">
        <v>63</v>
      </c>
      <c r="L43" s="2" t="s">
        <v>44</v>
      </c>
      <c r="M43" s="1">
        <v>39795</v>
      </c>
      <c r="N43" s="2" t="s">
        <v>64</v>
      </c>
      <c r="O43" s="1">
        <v>1670</v>
      </c>
      <c r="P43" s="2" t="s">
        <v>46</v>
      </c>
      <c r="Q43" s="1">
        <v>0</v>
      </c>
      <c r="R43" s="1">
        <v>2</v>
      </c>
      <c r="S43" s="2" t="s">
        <v>47</v>
      </c>
      <c r="T43" s="2" t="s">
        <v>75</v>
      </c>
      <c r="U43" s="2" t="s">
        <v>46</v>
      </c>
    </row>
    <row r="44" spans="1:21" x14ac:dyDescent="0.25">
      <c r="A44" s="1">
        <v>3078</v>
      </c>
      <c r="B44" s="2" t="s">
        <v>190</v>
      </c>
      <c r="C44" s="2" t="s">
        <v>22</v>
      </c>
      <c r="D44" s="1">
        <v>21</v>
      </c>
      <c r="E44" s="2" t="s">
        <v>23</v>
      </c>
      <c r="F44" s="2" t="s">
        <v>24</v>
      </c>
      <c r="G44" s="2" t="s">
        <v>25</v>
      </c>
      <c r="H44" s="2" t="s">
        <v>81</v>
      </c>
      <c r="I44" s="2" t="s">
        <v>191</v>
      </c>
      <c r="J44" s="3">
        <v>43433</v>
      </c>
      <c r="K44" s="2" t="s">
        <v>63</v>
      </c>
      <c r="L44" s="2" t="s">
        <v>54</v>
      </c>
      <c r="M44" s="1">
        <v>59506</v>
      </c>
      <c r="N44" s="2" t="s">
        <v>64</v>
      </c>
      <c r="O44" s="1">
        <v>4428</v>
      </c>
      <c r="P44" s="2" t="s">
        <v>65</v>
      </c>
      <c r="Q44" s="1">
        <v>0</v>
      </c>
      <c r="R44" s="1">
        <v>1</v>
      </c>
      <c r="S44" s="2" t="s">
        <v>46</v>
      </c>
      <c r="T44" s="2" t="s">
        <v>75</v>
      </c>
      <c r="U44" s="2" t="s">
        <v>35</v>
      </c>
    </row>
    <row r="45" spans="1:21" x14ac:dyDescent="0.25">
      <c r="A45" s="1">
        <v>6357</v>
      </c>
      <c r="B45" s="2" t="s">
        <v>193</v>
      </c>
      <c r="C45" s="2" t="s">
        <v>22</v>
      </c>
      <c r="D45" s="1">
        <v>46</v>
      </c>
      <c r="E45" s="2" t="s">
        <v>98</v>
      </c>
      <c r="F45" s="2" t="s">
        <v>49</v>
      </c>
      <c r="G45" s="2" t="s">
        <v>40</v>
      </c>
      <c r="H45" s="2" t="s">
        <v>81</v>
      </c>
      <c r="I45" s="2" t="s">
        <v>194</v>
      </c>
      <c r="J45" s="3">
        <v>44879</v>
      </c>
      <c r="K45" s="2" t="s">
        <v>63</v>
      </c>
      <c r="L45" s="2" t="s">
        <v>54</v>
      </c>
      <c r="M45" s="1">
        <v>49058</v>
      </c>
      <c r="N45" s="2" t="s">
        <v>45</v>
      </c>
      <c r="O45" s="1">
        <v>4396</v>
      </c>
      <c r="P45" s="2" t="s">
        <v>46</v>
      </c>
      <c r="Q45" s="1">
        <v>5</v>
      </c>
      <c r="R45" s="1">
        <v>1</v>
      </c>
      <c r="S45" s="2" t="s">
        <v>46</v>
      </c>
      <c r="T45" s="2" t="s">
        <v>75</v>
      </c>
      <c r="U45" s="2" t="s">
        <v>46</v>
      </c>
    </row>
    <row r="46" spans="1:21" x14ac:dyDescent="0.25">
      <c r="A46" s="1">
        <v>7951</v>
      </c>
      <c r="B46" s="2" t="s">
        <v>196</v>
      </c>
      <c r="C46" s="2" t="s">
        <v>22</v>
      </c>
      <c r="D46" s="1">
        <v>36</v>
      </c>
      <c r="E46" s="2" t="s">
        <v>59</v>
      </c>
      <c r="F46" s="2" t="s">
        <v>80</v>
      </c>
      <c r="G46" s="2" t="s">
        <v>50</v>
      </c>
      <c r="H46" s="2" t="s">
        <v>81</v>
      </c>
      <c r="I46" s="2" t="s">
        <v>197</v>
      </c>
      <c r="J46" s="3">
        <v>42423</v>
      </c>
      <c r="K46" s="2" t="s">
        <v>63</v>
      </c>
      <c r="L46" s="2" t="s">
        <v>30</v>
      </c>
      <c r="M46" s="1">
        <v>98612</v>
      </c>
      <c r="N46" s="2" t="s">
        <v>64</v>
      </c>
      <c r="O46" s="1">
        <v>1168</v>
      </c>
      <c r="P46" s="2" t="s">
        <v>46</v>
      </c>
      <c r="Q46" s="1">
        <v>9</v>
      </c>
      <c r="R46" s="1">
        <v>2</v>
      </c>
      <c r="S46" s="2" t="s">
        <v>47</v>
      </c>
      <c r="T46" s="2" t="s">
        <v>34</v>
      </c>
      <c r="U46" s="2" t="s">
        <v>35</v>
      </c>
    </row>
    <row r="47" spans="1:21" x14ac:dyDescent="0.25">
      <c r="A47" s="1">
        <v>9228</v>
      </c>
      <c r="B47" s="2" t="s">
        <v>199</v>
      </c>
      <c r="C47" s="2" t="s">
        <v>37</v>
      </c>
      <c r="D47" s="1">
        <v>41</v>
      </c>
      <c r="E47" s="2" t="s">
        <v>59</v>
      </c>
      <c r="F47" s="2" t="s">
        <v>102</v>
      </c>
      <c r="G47" s="2" t="s">
        <v>72</v>
      </c>
      <c r="H47" s="2" t="s">
        <v>41</v>
      </c>
      <c r="I47" s="2" t="s">
        <v>200</v>
      </c>
      <c r="J47" s="3">
        <v>43238</v>
      </c>
      <c r="K47" s="2" t="s">
        <v>111</v>
      </c>
      <c r="L47" s="2" t="s">
        <v>44</v>
      </c>
      <c r="M47" s="1">
        <v>38201</v>
      </c>
      <c r="N47" s="2" t="s">
        <v>64</v>
      </c>
      <c r="O47" s="1">
        <v>7111</v>
      </c>
      <c r="P47" s="2" t="s">
        <v>32</v>
      </c>
      <c r="Q47" s="1">
        <v>8</v>
      </c>
      <c r="R47" s="1">
        <v>4</v>
      </c>
      <c r="S47" s="2" t="s">
        <v>33</v>
      </c>
      <c r="T47" s="2" t="s">
        <v>75</v>
      </c>
      <c r="U47" s="2" t="s">
        <v>46</v>
      </c>
    </row>
    <row r="48" spans="1:21" x14ac:dyDescent="0.25">
      <c r="A48" s="1">
        <v>8988</v>
      </c>
      <c r="B48" s="2" t="s">
        <v>202</v>
      </c>
      <c r="C48" s="2" t="s">
        <v>37</v>
      </c>
      <c r="D48" s="1">
        <v>25</v>
      </c>
      <c r="E48" s="2" t="s">
        <v>23</v>
      </c>
      <c r="F48" s="2" t="s">
        <v>24</v>
      </c>
      <c r="G48" s="2" t="s">
        <v>50</v>
      </c>
      <c r="H48" s="2" t="s">
        <v>51</v>
      </c>
      <c r="I48" s="2" t="s">
        <v>203</v>
      </c>
      <c r="J48" s="3">
        <v>45360</v>
      </c>
      <c r="K48" s="2" t="s">
        <v>111</v>
      </c>
      <c r="L48" s="2" t="s">
        <v>44</v>
      </c>
      <c r="M48" s="1">
        <v>92919</v>
      </c>
      <c r="N48" s="2" t="s">
        <v>55</v>
      </c>
      <c r="O48" s="1">
        <v>9497</v>
      </c>
      <c r="P48" s="2" t="s">
        <v>32</v>
      </c>
      <c r="Q48" s="1">
        <v>7</v>
      </c>
      <c r="R48" s="1">
        <v>2</v>
      </c>
      <c r="S48" s="2" t="s">
        <v>46</v>
      </c>
      <c r="T48" s="2" t="s">
        <v>75</v>
      </c>
      <c r="U48" s="2" t="s">
        <v>57</v>
      </c>
    </row>
    <row r="49" spans="1:21" x14ac:dyDescent="0.25">
      <c r="A49" s="1">
        <v>1952</v>
      </c>
      <c r="B49" s="2" t="s">
        <v>205</v>
      </c>
      <c r="C49" s="2" t="s">
        <v>22</v>
      </c>
      <c r="D49" s="1">
        <v>29</v>
      </c>
      <c r="E49" s="2" t="s">
        <v>38</v>
      </c>
      <c r="F49" s="2" t="s">
        <v>102</v>
      </c>
      <c r="G49" s="2" t="s">
        <v>25</v>
      </c>
      <c r="H49" s="2" t="s">
        <v>41</v>
      </c>
      <c r="I49" s="2" t="s">
        <v>206</v>
      </c>
      <c r="J49" s="3">
        <v>45378</v>
      </c>
      <c r="K49" s="2" t="s">
        <v>29</v>
      </c>
      <c r="L49" s="2" t="s">
        <v>54</v>
      </c>
      <c r="M49" s="1">
        <v>45188</v>
      </c>
      <c r="N49" s="2" t="s">
        <v>64</v>
      </c>
      <c r="O49" s="1">
        <v>9591</v>
      </c>
      <c r="P49" s="2" t="s">
        <v>65</v>
      </c>
      <c r="Q49" s="1">
        <v>18</v>
      </c>
      <c r="R49" s="1">
        <v>3</v>
      </c>
      <c r="S49" s="2" t="s">
        <v>33</v>
      </c>
      <c r="T49" s="2" t="s">
        <v>75</v>
      </c>
      <c r="U49" s="2" t="s">
        <v>46</v>
      </c>
    </row>
    <row r="50" spans="1:21" x14ac:dyDescent="0.25">
      <c r="A50" s="1">
        <v>5760</v>
      </c>
      <c r="B50" s="2" t="s">
        <v>208</v>
      </c>
      <c r="C50" s="2" t="s">
        <v>22</v>
      </c>
      <c r="D50" s="1">
        <v>59</v>
      </c>
      <c r="E50" s="2" t="s">
        <v>68</v>
      </c>
      <c r="F50" s="2" t="s">
        <v>49</v>
      </c>
      <c r="G50" s="2" t="s">
        <v>40</v>
      </c>
      <c r="H50" s="2" t="s">
        <v>26</v>
      </c>
      <c r="I50" s="2" t="s">
        <v>209</v>
      </c>
      <c r="J50" s="3">
        <v>43822</v>
      </c>
      <c r="K50" s="2" t="s">
        <v>29</v>
      </c>
      <c r="L50" s="2" t="s">
        <v>44</v>
      </c>
      <c r="M50" s="1">
        <v>34927</v>
      </c>
      <c r="N50" s="2" t="s">
        <v>55</v>
      </c>
      <c r="O50" s="1">
        <v>6996</v>
      </c>
      <c r="P50" s="2" t="s">
        <v>65</v>
      </c>
      <c r="Q50" s="1">
        <v>16</v>
      </c>
      <c r="R50" s="1">
        <v>1</v>
      </c>
      <c r="S50" s="2" t="s">
        <v>47</v>
      </c>
      <c r="T50" s="2" t="s">
        <v>34</v>
      </c>
      <c r="U50" s="2" t="s">
        <v>35</v>
      </c>
    </row>
    <row r="51" spans="1:21" x14ac:dyDescent="0.25">
      <c r="A51" s="1">
        <v>5742</v>
      </c>
      <c r="B51" s="2" t="s">
        <v>211</v>
      </c>
      <c r="C51" s="2" t="s">
        <v>22</v>
      </c>
      <c r="D51" s="1">
        <v>27</v>
      </c>
      <c r="E51" s="2" t="s">
        <v>38</v>
      </c>
      <c r="F51" s="2" t="s">
        <v>24</v>
      </c>
      <c r="G51" s="2" t="s">
        <v>50</v>
      </c>
      <c r="H51" s="2" t="s">
        <v>60</v>
      </c>
      <c r="I51" s="2" t="s">
        <v>212</v>
      </c>
      <c r="J51" s="3">
        <v>42607</v>
      </c>
      <c r="K51" s="2" t="s">
        <v>29</v>
      </c>
      <c r="L51" s="2" t="s">
        <v>44</v>
      </c>
      <c r="M51" s="1">
        <v>33183</v>
      </c>
      <c r="N51" s="2" t="s">
        <v>64</v>
      </c>
      <c r="O51" s="1">
        <v>1659</v>
      </c>
      <c r="P51" s="2" t="s">
        <v>46</v>
      </c>
      <c r="Q51" s="1">
        <v>11</v>
      </c>
      <c r="R51" s="1">
        <v>1</v>
      </c>
      <c r="S51" s="2" t="s">
        <v>33</v>
      </c>
      <c r="T51" s="2" t="s">
        <v>66</v>
      </c>
      <c r="U51" s="2"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4A110-A50D-40B0-9043-DED466D0E2B0}">
  <dimension ref="B1:T61"/>
  <sheetViews>
    <sheetView topLeftCell="F5" workbookViewId="0">
      <selection activeCell="H39" sqref="H39"/>
    </sheetView>
  </sheetViews>
  <sheetFormatPr defaultRowHeight="15" x14ac:dyDescent="0.25"/>
  <cols>
    <col min="2" max="2" width="17.5703125" customWidth="1"/>
    <col min="3" max="3" width="27.42578125" customWidth="1"/>
    <col min="4" max="5" width="15.42578125" bestFit="1" customWidth="1"/>
    <col min="6" max="7" width="18.7109375" bestFit="1" customWidth="1"/>
    <col min="8" max="8" width="18.28515625" bestFit="1" customWidth="1"/>
    <col min="9" max="9" width="18.5703125" bestFit="1" customWidth="1"/>
    <col min="10" max="10" width="7.140625" bestFit="1" customWidth="1"/>
    <col min="11" max="11" width="15.42578125" bestFit="1" customWidth="1"/>
    <col min="12" max="12" width="29" bestFit="1" customWidth="1"/>
    <col min="13" max="13" width="15.42578125" bestFit="1" customWidth="1"/>
    <col min="14" max="14" width="18.28515625" bestFit="1" customWidth="1"/>
    <col min="15" max="15" width="29" bestFit="1" customWidth="1"/>
    <col min="19" max="19" width="15.42578125" bestFit="1" customWidth="1"/>
    <col min="20" max="20" width="18.28515625" bestFit="1" customWidth="1"/>
  </cols>
  <sheetData>
    <row r="1" spans="2:20" ht="15.75" x14ac:dyDescent="0.25">
      <c r="B1" s="20" t="s">
        <v>217</v>
      </c>
      <c r="C1" s="20"/>
      <c r="E1" s="10" t="s">
        <v>219</v>
      </c>
      <c r="F1" s="10"/>
      <c r="H1" s="20" t="s">
        <v>221</v>
      </c>
      <c r="I1" s="20"/>
      <c r="J1" s="20"/>
      <c r="K1" s="20"/>
      <c r="M1" s="20" t="s">
        <v>11</v>
      </c>
      <c r="N1" s="20"/>
      <c r="S1" s="20" t="s">
        <v>222</v>
      </c>
      <c r="T1" s="20"/>
    </row>
    <row r="2" spans="2:20" x14ac:dyDescent="0.25">
      <c r="B2" s="7" t="s">
        <v>214</v>
      </c>
      <c r="C2" s="1" t="s">
        <v>216</v>
      </c>
      <c r="E2" s="7" t="s">
        <v>214</v>
      </c>
      <c r="F2" s="1" t="s">
        <v>218</v>
      </c>
      <c r="H2" s="7" t="s">
        <v>216</v>
      </c>
      <c r="I2" s="7" t="s">
        <v>220</v>
      </c>
      <c r="J2" s="1"/>
      <c r="K2" s="1"/>
      <c r="M2" s="7" t="s">
        <v>214</v>
      </c>
      <c r="N2" s="1" t="s">
        <v>216</v>
      </c>
      <c r="S2" s="7" t="s">
        <v>214</v>
      </c>
      <c r="T2" s="1" t="s">
        <v>216</v>
      </c>
    </row>
    <row r="3" spans="2:20" x14ac:dyDescent="0.25">
      <c r="B3" s="1" t="s">
        <v>63</v>
      </c>
      <c r="C3" s="2">
        <v>17</v>
      </c>
      <c r="E3" s="1" t="s">
        <v>121</v>
      </c>
      <c r="F3" s="2">
        <v>167041</v>
      </c>
      <c r="H3" s="7" t="s">
        <v>214</v>
      </c>
      <c r="I3" s="1" t="s">
        <v>22</v>
      </c>
      <c r="J3" s="1" t="s">
        <v>37</v>
      </c>
      <c r="K3" s="1" t="s">
        <v>215</v>
      </c>
      <c r="M3" s="1" t="s">
        <v>44</v>
      </c>
      <c r="N3" s="2">
        <v>23</v>
      </c>
      <c r="S3" s="1" t="s">
        <v>75</v>
      </c>
      <c r="T3" s="2">
        <v>12</v>
      </c>
    </row>
    <row r="4" spans="2:20" x14ac:dyDescent="0.25">
      <c r="B4" s="1" t="s">
        <v>29</v>
      </c>
      <c r="C4" s="2">
        <v>20</v>
      </c>
      <c r="E4" s="1" t="s">
        <v>40</v>
      </c>
      <c r="F4" s="2">
        <v>613842</v>
      </c>
      <c r="H4" s="1" t="s">
        <v>23</v>
      </c>
      <c r="I4" s="2">
        <v>6</v>
      </c>
      <c r="J4" s="2">
        <v>3</v>
      </c>
      <c r="K4" s="2">
        <v>9</v>
      </c>
      <c r="M4" s="1" t="s">
        <v>30</v>
      </c>
      <c r="N4" s="2">
        <v>8</v>
      </c>
      <c r="S4" s="1" t="s">
        <v>34</v>
      </c>
      <c r="T4" s="2">
        <v>11</v>
      </c>
    </row>
    <row r="5" spans="2:20" x14ac:dyDescent="0.25">
      <c r="B5" s="1" t="s">
        <v>111</v>
      </c>
      <c r="C5" s="2">
        <v>13</v>
      </c>
      <c r="E5" s="1" t="s">
        <v>72</v>
      </c>
      <c r="F5" s="2">
        <v>633594</v>
      </c>
      <c r="H5" s="1" t="s">
        <v>38</v>
      </c>
      <c r="I5" s="2">
        <v>7</v>
      </c>
      <c r="J5" s="2">
        <v>6</v>
      </c>
      <c r="K5" s="2">
        <v>13</v>
      </c>
      <c r="M5" s="1" t="s">
        <v>54</v>
      </c>
      <c r="N5" s="2">
        <v>19</v>
      </c>
      <c r="S5" s="1" t="s">
        <v>96</v>
      </c>
      <c r="T5" s="2">
        <v>7</v>
      </c>
    </row>
    <row r="6" spans="2:20" x14ac:dyDescent="0.25">
      <c r="E6" s="1" t="s">
        <v>50</v>
      </c>
      <c r="F6" s="2">
        <v>959266</v>
      </c>
      <c r="H6" s="1" t="s">
        <v>59</v>
      </c>
      <c r="I6" s="2">
        <v>5</v>
      </c>
      <c r="J6" s="2">
        <v>7</v>
      </c>
      <c r="K6" s="2">
        <v>12</v>
      </c>
      <c r="S6" s="1" t="s">
        <v>56</v>
      </c>
      <c r="T6" s="2">
        <v>11</v>
      </c>
    </row>
    <row r="7" spans="2:20" x14ac:dyDescent="0.25">
      <c r="E7" s="1" t="s">
        <v>25</v>
      </c>
      <c r="F7" s="2">
        <v>731170</v>
      </c>
      <c r="H7" s="1" t="s">
        <v>98</v>
      </c>
      <c r="I7" s="2">
        <v>4</v>
      </c>
      <c r="J7" s="2">
        <v>3</v>
      </c>
      <c r="K7" s="2">
        <v>7</v>
      </c>
      <c r="M7" t="str" cm="1">
        <f t="array" ref="M7:N10">M2:N5</f>
        <v>Row Labels</v>
      </c>
      <c r="N7" t="str">
        <v>Count of Full Name</v>
      </c>
      <c r="S7" s="1" t="s">
        <v>66</v>
      </c>
      <c r="T7" s="2">
        <v>9</v>
      </c>
    </row>
    <row r="8" spans="2:20" x14ac:dyDescent="0.25">
      <c r="B8" t="str" cm="1">
        <f t="array" ref="B8:C11">B2:C5</f>
        <v>Row Labels</v>
      </c>
      <c r="C8" t="str">
        <v>Count of Full Name</v>
      </c>
      <c r="E8" s="1" t="s">
        <v>215</v>
      </c>
      <c r="F8" s="2">
        <v>3104913</v>
      </c>
      <c r="H8" s="1" t="s">
        <v>68</v>
      </c>
      <c r="I8" s="2">
        <v>4</v>
      </c>
      <c r="J8" s="2">
        <v>5</v>
      </c>
      <c r="K8" s="2">
        <v>9</v>
      </c>
      <c r="M8" t="str">
        <v>Branch Office</v>
      </c>
      <c r="N8">
        <v>23</v>
      </c>
      <c r="O8" s="11">
        <f t="shared" ref="O8:O10" si="0">SUM(N8)/SUM($N$8:$N$10)</f>
        <v>0.46</v>
      </c>
      <c r="P8" s="12">
        <f>1-O8</f>
        <v>0.54</v>
      </c>
    </row>
    <row r="9" spans="2:20" x14ac:dyDescent="0.25">
      <c r="B9" t="str">
        <v>Contract</v>
      </c>
      <c r="C9">
        <v>17</v>
      </c>
      <c r="H9" s="1" t="s">
        <v>215</v>
      </c>
      <c r="I9" s="2">
        <v>26</v>
      </c>
      <c r="J9" s="2">
        <v>24</v>
      </c>
      <c r="K9" s="2">
        <v>50</v>
      </c>
      <c r="M9" t="str">
        <v>Head Office</v>
      </c>
      <c r="N9">
        <v>8</v>
      </c>
      <c r="O9" s="11">
        <f t="shared" si="0"/>
        <v>0.16</v>
      </c>
      <c r="P9" s="12">
        <f t="shared" ref="P9:P10" si="1">1-O9</f>
        <v>0.84</v>
      </c>
    </row>
    <row r="10" spans="2:20" x14ac:dyDescent="0.25">
      <c r="B10" t="str">
        <v>Full-Time</v>
      </c>
      <c r="C10">
        <v>20</v>
      </c>
      <c r="E10" t="str" cm="1">
        <f t="array" ref="E10:G16">E2:G8</f>
        <v>Row Labels</v>
      </c>
      <c r="F10" t="str">
        <v>Sum of Salary</v>
      </c>
      <c r="G10">
        <v>0</v>
      </c>
      <c r="M10" t="str">
        <v>Remote</v>
      </c>
      <c r="N10">
        <v>19</v>
      </c>
      <c r="O10" s="11">
        <f t="shared" si="0"/>
        <v>0.38</v>
      </c>
      <c r="P10" s="12">
        <f t="shared" si="1"/>
        <v>0.62</v>
      </c>
      <c r="S10" t="str" cm="1">
        <f t="array" ref="S10:T15">S2:T7</f>
        <v>Row Labels</v>
      </c>
      <c r="T10" t="str">
        <v>Count of Full Name</v>
      </c>
    </row>
    <row r="11" spans="2:20" x14ac:dyDescent="0.25">
      <c r="B11" t="str">
        <v>Part-Time</v>
      </c>
      <c r="C11">
        <v>13</v>
      </c>
      <c r="E11" t="str">
        <v>Analyst</v>
      </c>
      <c r="F11" s="8">
        <v>167041</v>
      </c>
      <c r="G11">
        <v>0</v>
      </c>
      <c r="S11" t="str">
        <v>Communication</v>
      </c>
      <c r="T11">
        <v>12</v>
      </c>
    </row>
    <row r="12" spans="2:20" ht="15.75" x14ac:dyDescent="0.25">
      <c r="E12" t="str">
        <v>Designer</v>
      </c>
      <c r="F12" s="8">
        <v>613842</v>
      </c>
      <c r="G12">
        <v>0</v>
      </c>
      <c r="H12" t="str" cm="1">
        <f t="array" ref="H12:H16">H4:H8</f>
        <v>18-25</v>
      </c>
      <c r="I12" cm="1">
        <f t="array" ref="I12:I16">K4:K8</f>
        <v>9</v>
      </c>
      <c r="M12" s="20" t="s">
        <v>2</v>
      </c>
      <c r="N12" s="20"/>
      <c r="S12" t="str">
        <v>Design</v>
      </c>
      <c r="T12">
        <v>11</v>
      </c>
    </row>
    <row r="13" spans="2:20" x14ac:dyDescent="0.25">
      <c r="E13" t="str">
        <v>Developer</v>
      </c>
      <c r="F13" s="8">
        <v>633594</v>
      </c>
      <c r="G13">
        <v>0</v>
      </c>
      <c r="H13" t="str">
        <v>26-35</v>
      </c>
      <c r="I13">
        <v>13</v>
      </c>
      <c r="M13" s="7" t="s">
        <v>214</v>
      </c>
      <c r="N13" s="1" t="s">
        <v>216</v>
      </c>
      <c r="S13" t="str">
        <v>Excel</v>
      </c>
      <c r="T13">
        <v>7</v>
      </c>
    </row>
    <row r="14" spans="2:20" x14ac:dyDescent="0.25">
      <c r="E14" t="str">
        <v>HR Specialist</v>
      </c>
      <c r="F14" s="8">
        <v>959266</v>
      </c>
      <c r="G14">
        <v>0</v>
      </c>
      <c r="H14" t="str">
        <v>36-45</v>
      </c>
      <c r="I14">
        <v>12</v>
      </c>
      <c r="M14" s="1" t="s">
        <v>22</v>
      </c>
      <c r="N14" s="2">
        <v>26</v>
      </c>
      <c r="S14" t="str">
        <v>Management</v>
      </c>
      <c r="T14">
        <v>11</v>
      </c>
    </row>
    <row r="15" spans="2:20" x14ac:dyDescent="0.25">
      <c r="E15" t="str">
        <v>Manager</v>
      </c>
      <c r="F15" s="8">
        <v>731170</v>
      </c>
      <c r="G15">
        <v>0</v>
      </c>
      <c r="H15" t="str">
        <v>46-55</v>
      </c>
      <c r="I15">
        <v>7</v>
      </c>
      <c r="M15" s="1" t="s">
        <v>37</v>
      </c>
      <c r="N15" s="2">
        <v>24</v>
      </c>
      <c r="S15" t="str">
        <v>Python</v>
      </c>
      <c r="T15">
        <v>9</v>
      </c>
    </row>
    <row r="16" spans="2:20" x14ac:dyDescent="0.25">
      <c r="E16" t="str">
        <v>Grand Total</v>
      </c>
      <c r="F16" s="8">
        <v>3104913</v>
      </c>
      <c r="G16">
        <v>0</v>
      </c>
      <c r="H16" t="str">
        <v>56 &lt;</v>
      </c>
      <c r="I16">
        <v>9</v>
      </c>
      <c r="M16" s="1" t="s">
        <v>215</v>
      </c>
      <c r="N16" s="2">
        <v>50</v>
      </c>
    </row>
    <row r="18" spans="4:16" x14ac:dyDescent="0.25">
      <c r="D18" s="21"/>
      <c r="E18" s="21"/>
      <c r="F18" s="21"/>
      <c r="M18" t="str" cm="1">
        <f t="array" ref="M18:N21">M13:N16</f>
        <v>Row Labels</v>
      </c>
      <c r="N18" t="str">
        <v>Count of Full Name</v>
      </c>
    </row>
    <row r="19" spans="4:16" ht="15.75" x14ac:dyDescent="0.25">
      <c r="D19" s="20" t="s">
        <v>225</v>
      </c>
      <c r="E19" s="20"/>
      <c r="F19" s="20"/>
      <c r="H19" t="s">
        <v>37</v>
      </c>
      <c r="I19">
        <f>GETPIVOTDATA("Full Name",$H$2,"Gender","Male")</f>
        <v>24</v>
      </c>
      <c r="J19" s="11">
        <f t="shared" ref="J19:J20" si="2">SUM(I19)/SUM($I$19:$I$20)</f>
        <v>0.48</v>
      </c>
      <c r="K19" s="12">
        <f>1-J19</f>
        <v>0.52</v>
      </c>
      <c r="M19" t="str">
        <v>Female</v>
      </c>
      <c r="N19">
        <v>26</v>
      </c>
      <c r="O19" s="11">
        <f t="shared" ref="O19:O20" si="3">SUM(N19)/SUM($N$19:$N$20)</f>
        <v>0.52</v>
      </c>
      <c r="P19" s="12">
        <f>1-O19</f>
        <v>0.48</v>
      </c>
    </row>
    <row r="20" spans="4:16" x14ac:dyDescent="0.25">
      <c r="D20" s="7" t="s">
        <v>214</v>
      </c>
      <c r="E20" s="1" t="s">
        <v>218</v>
      </c>
      <c r="F20" s="1" t="s">
        <v>224</v>
      </c>
      <c r="H20" t="s">
        <v>22</v>
      </c>
      <c r="I20">
        <f>GETPIVOTDATA("Full Name",$H$2,"Gender","Female")</f>
        <v>26</v>
      </c>
      <c r="J20" s="11">
        <f t="shared" si="2"/>
        <v>0.52</v>
      </c>
      <c r="K20" s="12">
        <f>1-J20</f>
        <v>0.48</v>
      </c>
      <c r="M20" t="str">
        <v>Male</v>
      </c>
      <c r="N20">
        <v>24</v>
      </c>
      <c r="O20" s="11">
        <f t="shared" si="3"/>
        <v>0.48</v>
      </c>
      <c r="P20" s="12">
        <f>1-O20</f>
        <v>0.52</v>
      </c>
    </row>
    <row r="21" spans="4:16" x14ac:dyDescent="0.25">
      <c r="D21" s="1" t="s">
        <v>121</v>
      </c>
      <c r="E21" s="2">
        <v>167041</v>
      </c>
      <c r="F21" s="2">
        <v>28</v>
      </c>
      <c r="H21" t="s">
        <v>223</v>
      </c>
      <c r="I21" s="13">
        <f>I19+I20</f>
        <v>50</v>
      </c>
      <c r="M21" t="str">
        <v>Grand Total</v>
      </c>
      <c r="N21">
        <v>50</v>
      </c>
      <c r="O21">
        <f>N21</f>
        <v>50</v>
      </c>
    </row>
    <row r="22" spans="4:16" x14ac:dyDescent="0.25">
      <c r="D22" s="1" t="s">
        <v>40</v>
      </c>
      <c r="E22" s="2">
        <v>613842</v>
      </c>
      <c r="F22" s="2">
        <v>110</v>
      </c>
    </row>
    <row r="23" spans="4:16" ht="15.75" x14ac:dyDescent="0.25">
      <c r="D23" s="1" t="s">
        <v>72</v>
      </c>
      <c r="E23" s="2">
        <v>633594</v>
      </c>
      <c r="F23" s="2">
        <v>104</v>
      </c>
      <c r="H23" s="20" t="s">
        <v>226</v>
      </c>
      <c r="I23" s="20"/>
      <c r="K23" s="20" t="s">
        <v>7</v>
      </c>
      <c r="L23" s="20"/>
      <c r="N23" s="20" t="s">
        <v>232</v>
      </c>
      <c r="O23" s="20"/>
    </row>
    <row r="24" spans="4:16" x14ac:dyDescent="0.25">
      <c r="D24" s="1" t="s">
        <v>50</v>
      </c>
      <c r="E24" s="2">
        <v>959266</v>
      </c>
      <c r="F24" s="2">
        <v>123</v>
      </c>
      <c r="H24" s="7" t="s">
        <v>214</v>
      </c>
      <c r="I24" s="1" t="s">
        <v>216</v>
      </c>
      <c r="K24" s="7" t="s">
        <v>230</v>
      </c>
      <c r="L24" s="1" t="s">
        <v>227</v>
      </c>
      <c r="N24" s="7" t="s">
        <v>231</v>
      </c>
      <c r="O24" s="1" t="s">
        <v>216</v>
      </c>
    </row>
    <row r="25" spans="4:16" x14ac:dyDescent="0.25">
      <c r="D25" s="1" t="s">
        <v>25</v>
      </c>
      <c r="E25" s="2">
        <v>731170</v>
      </c>
      <c r="F25" s="2">
        <v>122</v>
      </c>
      <c r="H25" s="1" t="s">
        <v>39</v>
      </c>
      <c r="I25" s="2">
        <v>14</v>
      </c>
      <c r="K25" s="1" t="s">
        <v>26</v>
      </c>
      <c r="L25" s="14">
        <v>2.5833333333333335</v>
      </c>
      <c r="N25" s="1" t="s">
        <v>32</v>
      </c>
      <c r="O25" s="17">
        <v>17</v>
      </c>
    </row>
    <row r="26" spans="4:16" x14ac:dyDescent="0.25">
      <c r="H26" s="1" t="s">
        <v>24</v>
      </c>
      <c r="I26" s="2">
        <v>10</v>
      </c>
      <c r="K26" s="1" t="s">
        <v>41</v>
      </c>
      <c r="L26" s="14">
        <v>3.3</v>
      </c>
      <c r="N26" s="1" t="s">
        <v>65</v>
      </c>
      <c r="O26" s="17">
        <v>17</v>
      </c>
    </row>
    <row r="27" spans="4:16" x14ac:dyDescent="0.25">
      <c r="H27" s="1" t="s">
        <v>102</v>
      </c>
      <c r="I27" s="2">
        <v>7</v>
      </c>
      <c r="K27" s="1" t="s">
        <v>81</v>
      </c>
      <c r="L27" s="14">
        <v>2.25</v>
      </c>
      <c r="N27" s="1" t="s">
        <v>46</v>
      </c>
      <c r="O27" s="17">
        <v>16</v>
      </c>
    </row>
    <row r="28" spans="4:16" x14ac:dyDescent="0.25">
      <c r="D28" t="str" cm="1">
        <f t="array" ref="D28:F33">D20:F25</f>
        <v>Row Labels</v>
      </c>
      <c r="E28" t="str">
        <v>Sum of Salary</v>
      </c>
      <c r="F28" t="str">
        <v>Sum of Leave Taken</v>
      </c>
      <c r="H28" s="1" t="s">
        <v>80</v>
      </c>
      <c r="I28" s="2">
        <v>10</v>
      </c>
      <c r="K28" s="1" t="s">
        <v>51</v>
      </c>
      <c r="L28" s="14">
        <v>2.3636363636363638</v>
      </c>
    </row>
    <row r="29" spans="4:16" x14ac:dyDescent="0.25">
      <c r="D29" t="str">
        <v>Analyst</v>
      </c>
      <c r="E29">
        <v>167041</v>
      </c>
      <c r="F29">
        <v>28</v>
      </c>
      <c r="H29" s="1" t="s">
        <v>49</v>
      </c>
      <c r="I29" s="2">
        <v>9</v>
      </c>
      <c r="K29" s="1" t="s">
        <v>60</v>
      </c>
      <c r="L29" s="14">
        <v>2.5555555555555554</v>
      </c>
    </row>
    <row r="30" spans="4:16" x14ac:dyDescent="0.25">
      <c r="D30" t="str">
        <v>Designer</v>
      </c>
      <c r="E30">
        <v>613842</v>
      </c>
      <c r="F30">
        <v>110</v>
      </c>
      <c r="N30" t="str" cm="1">
        <f t="array" ref="N30:O33">N24:O27</f>
        <v xml:space="preserve"> Insurance</v>
      </c>
      <c r="O30" t="str">
        <v>Count of Full Name</v>
      </c>
    </row>
    <row r="31" spans="4:16" x14ac:dyDescent="0.25">
      <c r="D31" t="str">
        <v>Developer</v>
      </c>
      <c r="E31">
        <v>633594</v>
      </c>
      <c r="F31">
        <v>104</v>
      </c>
      <c r="H31" t="str" cm="1">
        <f t="array" ref="H31:I36">H24:I29</f>
        <v>Row Labels</v>
      </c>
      <c r="I31" t="str">
        <v>Count of Full Name</v>
      </c>
      <c r="N31" t="str">
        <v>Health</v>
      </c>
      <c r="O31">
        <v>17</v>
      </c>
    </row>
    <row r="32" spans="4:16" x14ac:dyDescent="0.25">
      <c r="D32" t="str">
        <v>HR Specialist</v>
      </c>
      <c r="E32">
        <v>959266</v>
      </c>
      <c r="F32">
        <v>123</v>
      </c>
      <c r="H32" t="str">
        <v>Central</v>
      </c>
      <c r="I32">
        <v>14</v>
      </c>
      <c r="K32" t="str" cm="1">
        <f t="array" ref="K32:L37">K24:L29</f>
        <v xml:space="preserve"> Dept</v>
      </c>
      <c r="L32" t="str">
        <v>Average of Performance Rating</v>
      </c>
      <c r="N32" t="str">
        <v>Health + Dental</v>
      </c>
      <c r="O32">
        <v>17</v>
      </c>
    </row>
    <row r="33" spans="4:15" x14ac:dyDescent="0.25">
      <c r="D33" t="str">
        <v>Manager</v>
      </c>
      <c r="E33">
        <v>731170</v>
      </c>
      <c r="F33">
        <v>122</v>
      </c>
      <c r="H33" t="str">
        <v>East</v>
      </c>
      <c r="I33">
        <v>10</v>
      </c>
      <c r="K33" t="str">
        <v>Finance</v>
      </c>
      <c r="L33" s="15">
        <v>2.5833333333333335</v>
      </c>
      <c r="N33" t="str">
        <v>None</v>
      </c>
      <c r="O33">
        <v>16</v>
      </c>
    </row>
    <row r="34" spans="4:15" x14ac:dyDescent="0.25">
      <c r="H34" t="str">
        <v>North</v>
      </c>
      <c r="I34">
        <v>7</v>
      </c>
      <c r="K34" t="str">
        <v>HR</v>
      </c>
      <c r="L34" s="15">
        <v>3.3</v>
      </c>
    </row>
    <row r="35" spans="4:15" ht="15.75" x14ac:dyDescent="0.25">
      <c r="H35" t="str">
        <v>South</v>
      </c>
      <c r="I35">
        <v>10</v>
      </c>
      <c r="K35" t="str">
        <v>IT</v>
      </c>
      <c r="L35" s="15">
        <v>2.25</v>
      </c>
      <c r="N35" s="20" t="s">
        <v>233</v>
      </c>
      <c r="O35" s="20"/>
    </row>
    <row r="36" spans="4:15" x14ac:dyDescent="0.25">
      <c r="H36" t="str">
        <v>West</v>
      </c>
      <c r="I36">
        <v>9</v>
      </c>
      <c r="K36" t="str">
        <v>Marketing</v>
      </c>
      <c r="L36" s="15">
        <v>2.3636363636363638</v>
      </c>
      <c r="N36" s="7" t="s">
        <v>10</v>
      </c>
      <c r="O36" s="1" t="s">
        <v>218</v>
      </c>
    </row>
    <row r="37" spans="4:15" x14ac:dyDescent="0.25">
      <c r="K37" t="str">
        <v>Operations</v>
      </c>
      <c r="L37" s="15">
        <v>2.5555555555555554</v>
      </c>
      <c r="N37" s="1" t="s">
        <v>29</v>
      </c>
      <c r="O37" s="18">
        <v>1199558</v>
      </c>
    </row>
    <row r="38" spans="4:15" x14ac:dyDescent="0.25">
      <c r="K38" t="s">
        <v>229</v>
      </c>
      <c r="L38" s="16">
        <f>AVERAGE(L33:L37)</f>
        <v>2.6105050505050502</v>
      </c>
      <c r="N38" s="1" t="s">
        <v>63</v>
      </c>
      <c r="O38" s="18">
        <v>1098422</v>
      </c>
    </row>
    <row r="39" spans="4:15" x14ac:dyDescent="0.25">
      <c r="N39" s="1" t="s">
        <v>111</v>
      </c>
      <c r="O39" s="18">
        <v>806933</v>
      </c>
    </row>
    <row r="42" spans="4:15" x14ac:dyDescent="0.25">
      <c r="N42" t="str" cm="1">
        <f t="array" ref="N42:O45">N36:O39</f>
        <v>Employment Status</v>
      </c>
      <c r="O42" t="str">
        <v>Sum of Salary</v>
      </c>
    </row>
    <row r="43" spans="4:15" x14ac:dyDescent="0.25">
      <c r="N43" t="str">
        <v>Full-Time</v>
      </c>
      <c r="O43" s="19">
        <v>1199558</v>
      </c>
    </row>
    <row r="44" spans="4:15" x14ac:dyDescent="0.25">
      <c r="N44" t="str">
        <v>Contract</v>
      </c>
      <c r="O44" s="19">
        <v>1098422</v>
      </c>
    </row>
    <row r="45" spans="4:15" x14ac:dyDescent="0.25">
      <c r="N45" t="str">
        <v>Part-Time</v>
      </c>
      <c r="O45" s="19">
        <v>806933</v>
      </c>
    </row>
    <row r="47" spans="4:15" ht="15.75" x14ac:dyDescent="0.25">
      <c r="N47" s="20" t="s">
        <v>234</v>
      </c>
      <c r="O47" s="20"/>
    </row>
    <row r="48" spans="4:15" x14ac:dyDescent="0.25">
      <c r="N48" s="7" t="s">
        <v>7</v>
      </c>
      <c r="O48" s="1" t="s">
        <v>216</v>
      </c>
    </row>
    <row r="49" spans="14:15" x14ac:dyDescent="0.25">
      <c r="N49" s="1" t="s">
        <v>26</v>
      </c>
      <c r="O49" s="2">
        <v>12</v>
      </c>
    </row>
    <row r="50" spans="14:15" x14ac:dyDescent="0.25">
      <c r="N50" s="1" t="s">
        <v>41</v>
      </c>
      <c r="O50" s="2">
        <v>10</v>
      </c>
    </row>
    <row r="51" spans="14:15" x14ac:dyDescent="0.25">
      <c r="N51" s="1" t="s">
        <v>81</v>
      </c>
      <c r="O51" s="2">
        <v>8</v>
      </c>
    </row>
    <row r="52" spans="14:15" x14ac:dyDescent="0.25">
      <c r="N52" s="1" t="s">
        <v>51</v>
      </c>
      <c r="O52" s="2">
        <v>11</v>
      </c>
    </row>
    <row r="53" spans="14:15" x14ac:dyDescent="0.25">
      <c r="N53" s="1" t="s">
        <v>60</v>
      </c>
      <c r="O53" s="2">
        <v>9</v>
      </c>
    </row>
    <row r="56" spans="14:15" x14ac:dyDescent="0.25">
      <c r="N56" t="str" cm="1">
        <f t="array" ref="N56:O61">N48:O53</f>
        <v>Department</v>
      </c>
      <c r="O56" t="str">
        <v>Count of Full Name</v>
      </c>
    </row>
    <row r="57" spans="14:15" x14ac:dyDescent="0.25">
      <c r="N57" t="str">
        <v>Finance</v>
      </c>
      <c r="O57">
        <v>12</v>
      </c>
    </row>
    <row r="58" spans="14:15" x14ac:dyDescent="0.25">
      <c r="N58" t="str">
        <v>HR</v>
      </c>
      <c r="O58">
        <v>10</v>
      </c>
    </row>
    <row r="59" spans="14:15" x14ac:dyDescent="0.25">
      <c r="N59" t="str">
        <v>IT</v>
      </c>
      <c r="O59">
        <v>8</v>
      </c>
    </row>
    <row r="60" spans="14:15" x14ac:dyDescent="0.25">
      <c r="N60" t="str">
        <v>Marketing</v>
      </c>
      <c r="O60">
        <v>11</v>
      </c>
    </row>
    <row r="61" spans="14:15" x14ac:dyDescent="0.25">
      <c r="N61" t="str">
        <v>Operations</v>
      </c>
      <c r="O61">
        <v>9</v>
      </c>
    </row>
  </sheetData>
  <mergeCells count="12">
    <mergeCell ref="N35:O35"/>
    <mergeCell ref="N47:O47"/>
    <mergeCell ref="S1:T1"/>
    <mergeCell ref="D18:F18"/>
    <mergeCell ref="B1:C1"/>
    <mergeCell ref="H1:K1"/>
    <mergeCell ref="N23:O23"/>
    <mergeCell ref="D19:F19"/>
    <mergeCell ref="H23:I23"/>
    <mergeCell ref="K23:L23"/>
    <mergeCell ref="M12:N12"/>
    <mergeCell ref="M1:N1"/>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A837D-6066-450E-9631-D931208C7DAA}">
  <dimension ref="A1:AE48"/>
  <sheetViews>
    <sheetView showGridLines="0" tabSelected="1" zoomScale="77" zoomScaleNormal="77" workbookViewId="0">
      <selection activeCell="AH23" sqref="AH23"/>
    </sheetView>
  </sheetViews>
  <sheetFormatPr defaultRowHeight="15" x14ac:dyDescent="0.25"/>
  <cols>
    <col min="1" max="23" width="9.140625" style="6"/>
    <col min="24" max="24" width="5" style="6" customWidth="1"/>
    <col min="25" max="16384" width="9.140625" style="6"/>
  </cols>
  <sheetData>
    <row r="1" spans="1:31"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row>
    <row r="2" spans="1:31"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row>
    <row r="3" spans="1:31"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row>
    <row r="4" spans="1:3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row>
    <row r="5" spans="1:3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row>
    <row r="6" spans="1:3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row>
    <row r="7" spans="1:31"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row>
    <row r="8" spans="1:31"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row>
    <row r="9" spans="1:31" x14ac:dyDescent="0.25">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row>
    <row r="10" spans="1:31"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row>
    <row r="11" spans="1:31" x14ac:dyDescent="0.2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row>
    <row r="12" spans="1:31"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row>
    <row r="13" spans="1:31"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row>
    <row r="14" spans="1:31"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t="s">
        <v>228</v>
      </c>
      <c r="AE14" s="9"/>
    </row>
    <row r="15" spans="1:31"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row>
    <row r="17" spans="1:31"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row>
    <row r="19" spans="1:31"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row>
    <row r="20" spans="1:31"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row>
    <row r="21" spans="1:31"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row>
    <row r="22" spans="1:31"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row>
    <row r="23" spans="1:3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row>
    <row r="24" spans="1:31"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row>
    <row r="25" spans="1:31"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row>
    <row r="26" spans="1:31"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row>
    <row r="27" spans="1:31"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row>
    <row r="28" spans="1:31"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row>
    <row r="29" spans="1:31"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row>
    <row r="30" spans="1:31"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row>
    <row r="31" spans="1:31"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row>
    <row r="32" spans="1:31"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row>
    <row r="33" spans="1:31"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row>
    <row r="34" spans="1:31"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row>
    <row r="35" spans="1:31"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row>
    <row r="36" spans="1:31"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row>
    <row r="37" spans="1:31"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row>
    <row r="38" spans="1:31"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row>
    <row r="40" spans="1:31"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row>
    <row r="41" spans="1:31"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row>
    <row r="42" spans="1:31"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row>
    <row r="43" spans="1:31"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row>
    <row r="44" spans="1:31"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row>
    <row r="45" spans="1:31"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row>
    <row r="46" spans="1:31"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spans="1:31"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row>
    <row r="48" spans="1:3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51F90B-BD4C-4683-B17E-BD206EB633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Data_Clean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ahmed</cp:lastModifiedBy>
  <dcterms:created xsi:type="dcterms:W3CDTF">2015-06-05T18:17:20Z</dcterms:created>
  <dcterms:modified xsi:type="dcterms:W3CDTF">2025-12-01T14:56:14Z</dcterms:modified>
</cp:coreProperties>
</file>